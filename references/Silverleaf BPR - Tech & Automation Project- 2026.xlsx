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6. Student Experience" sheetId="2" r:id="rId6"/>
    <sheet state="visible" name="Priority List" sheetId="3" r:id="rId7"/>
    <sheet state="visible" name="Operations Department" sheetId="4" r:id="rId8"/>
    <sheet state="visible" name="2. Finance" sheetId="5" r:id="rId9"/>
    <sheet state="visible" name="3. Marketing" sheetId="6" r:id="rId10"/>
    <sheet state="visible" name="4. HR" sheetId="7" r:id="rId11"/>
    <sheet state="visible" name="5. Data, Tech &amp; MEL " sheetId="8" r:id="rId12"/>
    <sheet state="visible" name="7. Academic Department" sheetId="9" r:id="rId13"/>
    <sheet state="visible" name="8.Expansion" sheetId="10" r:id="rId14"/>
    <sheet state="visible" name="Ed Admin Modules" sheetId="11" r:id="rId15"/>
    <sheet state="visible" name="Ed admin Full Feature List" sheetId="12" r:id="rId16"/>
    <sheet state="visible" name="SLA Ed admin Feature List" sheetId="13" r:id="rId17"/>
    <sheet state="visible" name="Ed admin Summary" sheetId="14" r:id="rId18"/>
    <sheet state="visible" name="SLA Digital Systems" sheetId="15" r:id="rId19"/>
    <sheet state="visible" name="LIVE Systems" sheetId="16" r:id="rId20"/>
    <sheet state="visible" name="Department Implementation" sheetId="17" r:id="rId21"/>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tc={2df85dfa-d3b9-45ce-92b9-26a916460b2f}</author>
    <author>tc={ced06665-749f-4302-b0cf-4b051c649dcb}</author>
    <author>tc={e4342f38-94b5-4ec0-a1ba-0324fe50609c}</author>
  </authors>
  <commentList>
    <comment authorId="0" xr:uid="{2df85dfa-d3b9-45ce-92b9-26a916460b2f}" ref="D5">
      <text>
        <t xml:space="preserve">[Threaded comment]
 Your version of Excel allows you to read this threaded comment; however, any edits to it will get removed if the file is opened in a newer version of Excel. Learn more: https://go.microsoft.com/fwlink/?linkid=870924
Comment:
	Nelly Ester
</t>
      </text>
    </comment>
    <comment authorId="1" xr:uid="{ced06665-749f-4302-b0cf-4b051c649dcb}" ref="D4">
      <text>
        <t xml:space="preserve">[Threaded comment]
 Your version of Excel allows you to read this threaded comment; however, any edits to it will get removed if the file is opened in a newer version of Excel. Learn more: https://go.microsoft.com/fwlink/?linkid=870924
Comment:
	Dan / Lilian
</t>
      </text>
    </comment>
    <comment authorId="2" xr:uid="{e4342f38-94b5-4ec0-a1ba-0324fe50609c}" ref="D6">
      <text>
        <t xml:space="preserve">[Threaded comment]
 Your version of Excel allows you to read this threaded comment; however, any edits to it will get removed if the file is opened in a newer version of Excel. Learn more: https://go.microsoft.com/fwlink/?linkid=870924
Comment:
	Baraka / Nelly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tc={f1e2f713-33e0-4783-989e-7d2ea15f8484}</author>
  </authors>
  <commentList>
    <comment authorId="0" xr:uid="{f1e2f713-33e0-4783-989e-7d2ea15f8484}" ref="B4">
      <text>
        <t xml:space="preserve">[Threaded comment]
 Your version of Excel allows you to read this threaded comment; however, any edits to it will get removed if the file is opened in a newer version of Excel. Learn more: https://go.microsoft.com/fwlink/?linkid=870924
Comment:
	@ludwigy@silverleaf.co.tz Hey Ludwigy, let me know if this can help you with these workstreams https://andama.ai It has a free 9 month pilot :)
Assigned to ludwigy@silverleaf.co.tz
Reply:
	@julius@silverleaf.co.tz
Reassigned to julius@silverleaf.co.tz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tc={4a2b51e8-df68-46c4-97d7-8a67a57ee0dc}</author>
  </authors>
  <commentList>
    <comment authorId="0" xr:uid="{4a2b51e8-df68-46c4-97d7-8a67a57ee0dc}" ref="E3">
      <text>
        <t xml:space="preserve">[Threaded comment]
 Your version of Excel allows you to read this threaded comment; however, any edits to it will get removed if the file is opened in a newer version of Excel. Learn more: https://go.microsoft.com/fwlink/?linkid=870924
Comment:
	@it@silverleaf.co.tz @data@silverleaf.co.tz pls fill in the number of modules in use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tc={47bb0b20-b42c-47a7-8d7e-52a1ba382837}</author>
  </authors>
  <commentList>
    <comment authorId="0" xr:uid="{47bb0b20-b42c-47a7-8d7e-52a1ba382837}" ref="F7">
      <text>
        <t xml:space="preserve">[Threaded comment]
 Your version of Excel allows you to read this threaded comment; however, any edits to it will get removed if the file is opened in a newer version of Excel. Learn more: https://go.microsoft.com/fwlink/?linkid=870924
Comment:
	@data@silverleaf.co.tz @it@silverleaf.co.tz please ensure status column is filled
Reply:
	guys - reminder??
</t>
      </text>
    </comment>
  </commentList>
</comments>
</file>

<file path=xl/sharedStrings.xml><?xml version="1.0" encoding="utf-8"?>
<sst xmlns="http://schemas.openxmlformats.org/spreadsheetml/2006/main" count="1921" uniqueCount="978">
  <si>
    <t>wa</t>
  </si>
  <si>
    <t xml:space="preserve">S/N </t>
  </si>
  <si>
    <t>Key Process</t>
  </si>
  <si>
    <t xml:space="preserve">Digital Transformation - Business Process Reengineering (BPR) </t>
  </si>
  <si>
    <t xml:space="preserve">Dept </t>
  </si>
  <si>
    <t>Process / Area</t>
  </si>
  <si>
    <t xml:space="preserve">Process Lead </t>
  </si>
  <si>
    <t>Current Challenge</t>
  </si>
  <si>
    <t>Proposed Improvement</t>
  </si>
  <si>
    <t>Intended Solution</t>
  </si>
  <si>
    <t>Current System</t>
  </si>
  <si>
    <t>Priority</t>
  </si>
  <si>
    <t>Notes</t>
  </si>
  <si>
    <t>This sheet is the master tracker for Silverleaf's school-wide Systems Automation Programme. It documents every process improvement initiative across all seven departments — capturing current challenges, proposed solutions, implementation type, resources, and priorities. It is the central reference point for the project team, department heads, and leadership as we execute this project.</t>
  </si>
  <si>
    <t xml:space="preserve">Academic </t>
  </si>
  <si>
    <t>Digital lesson plans</t>
  </si>
  <si>
    <t>Student Wellness &amp; Clinic Records</t>
  </si>
  <si>
    <t>KPI Reporting (All Departments)</t>
  </si>
  <si>
    <t>Ruth/Julius /Aloyce/Anthonia</t>
  </si>
  <si>
    <t>Medical records are kept manually, making it difficult to track frequent visits, monitor health trends, or share relevant information with parents promptly.</t>
  </si>
  <si>
    <t>Deploy a digital student health management system with visit logs, medical history records, parent alerts, and a leadership dashboard for visibility.</t>
  </si>
  <si>
    <t>Automated / Tech enabled</t>
  </si>
  <si>
    <t>Building a Silverleaf-specific version of Rumi (Taleemabad's open-source AI education tool). Taleemabad has made the code for Rumi freely available, which gives us a strong starting point instead of building an AI teaching tool from scratch. The challenge is that the version we currently have access to is set up generically as "Rumi for Tanzania" — it isn't tailored to Silverleaf's curriculum, branding, campuses, or way of working. To make it genuinely useful for our teachers and students, we need to clone the open-source code and stand up a separate, dedicated instance built specifically for Silverleaf Academy. This means setting up our own version, adapting it to our content and context, and maintaining it ourselves, rather than relying on a shared national setup that doesn't reflect how Silverleaf actually operates.</t>
  </si>
  <si>
    <t>Student health system</t>
  </si>
  <si>
    <t>Reports are generated manually, causing delays and providing no real-time visibility of operational performance.</t>
  </si>
  <si>
    <t>Auto-generate KPI dashboards across Transport, Kitchen, Facilities, and other departments. Automatically compare Target vs Actual (e.g., on-time %, budget vs actual) in real time.</t>
  </si>
  <si>
    <t>Automated</t>
  </si>
  <si>
    <t>Finance Master Sheet</t>
  </si>
  <si>
    <t>Clone and deploy a dedicated Silverleaf Academy instance of Rumi, customised with our own content, branding, and context — hosted and maintained independently of the shared national setup.</t>
  </si>
  <si>
    <t>Purpose of this project</t>
  </si>
  <si>
    <t>A standalone Rumi for Education instance fully tailored to Silverleaf Academy teachers and students, with content ownership and the ability to update and adapt it as needed.</t>
  </si>
  <si>
    <t>Student Incident &amp; Child Protection Reporting</t>
  </si>
  <si>
    <t>Incidents are reported via paper forms or WhatsApp, causing delays, incomplete records, and difficulty following up on cases consistently.</t>
  </si>
  <si>
    <t>Introduce a centralized digital incident reporting system with case tracking, automated alerts, and secure documentation to ensure every report is recorded and followed up.</t>
  </si>
  <si>
    <t>Incident reporting system</t>
  </si>
  <si>
    <t>To systematically automate and digitize core processes across every department so Silverleaf can operate efficiently, consistently, and at scale as we expand Nationally across East Africa.</t>
  </si>
  <si>
    <t>Rumi for Education (AI Coaching)</t>
  </si>
  <si>
    <t>Budget Tracking</t>
  </si>
  <si>
    <t xml:space="preserve">Julius </t>
  </si>
  <si>
    <t>The department lacks real-time visibility into budget utilization, making it difficult to track remaining funds against the approved budgeted amount.</t>
  </si>
  <si>
    <t>Deploy a Budget vs Actual dashboard so leaders can track expenditure in real time and identify overspend early.</t>
  </si>
  <si>
    <t>Co-Curricular Attendance &amp; Participation Tracking</t>
  </si>
  <si>
    <t>Ed-admin</t>
  </si>
  <si>
    <t>Attendance at co-curricular activities is tracked manually and inconsistently, making it difficult to measure participation levels or assess impact.</t>
  </si>
  <si>
    <t>Deploy a QR or digital attendance system with participation dashboards and automated reports so leaders and teachers have clear visibility of engagement.</t>
  </si>
  <si>
    <t>Department</t>
  </si>
  <si>
    <t>Finance</t>
  </si>
  <si>
    <t>Focus Area</t>
  </si>
  <si>
    <t>Total Processes</t>
  </si>
  <si>
    <t>Requisition Process</t>
  </si>
  <si>
    <t>Primary Type</t>
  </si>
  <si>
    <t xml:space="preserve">Dan, Lillian (Nelly) </t>
  </si>
  <si>
    <t>Key Areas</t>
  </si>
  <si>
    <t>Digitising and streamlining the requisition and vendor payment process. Right now, the way requests are made across our campuses, departments, and central team is largely manual and inconsistent. Requests are shared through email, WhatsApp, Google Sheets, and word of mouth, which makes them hard to track and easy to lose. Because requests come in through so many different channels, the finance team often has to re-enter or re-organise the same information themselves, creating double work. There's also no single, clear path showing who raised a request, which department or campus it came from, who needs to approve it, what stage it's at, and when the vendor is actually paid. This slows down approvals and payments, creates confusion over what's been ordered, spent, or still owed, and makes it difficult to keep proper records. The challenge is to move this onto one digital process — with a standard request form, clear approval steps, and a way to track every requisition through to vendor payment — so requests from any campus, department, or the central team are faster, more transparent, properly documented, and don't create extra work for finance.</t>
  </si>
  <si>
    <t>Introduce automated payment scheduling and batch payment preparation so that vendor payments are processed on time and fully traceable. It include internet, ELectricity and suppliers payments across campuses.</t>
  </si>
  <si>
    <t>Automated reminders for the finance team to be able to work on these payments</t>
  </si>
  <si>
    <t>System Links</t>
  </si>
  <si>
    <t>HR</t>
  </si>
  <si>
    <t>Staff Onboarding &amp; Orientation</t>
  </si>
  <si>
    <t>Esther, Nelly [Mourine]</t>
  </si>
  <si>
    <t>Operations</t>
  </si>
  <si>
    <t>Standardising staff onboarding and orientation. We bring on new hires fairly regularly across our campuses, departments, and central team, but right now there's no single, consistent way to welcome and set them up. Onboarding often happens informally and differs from one campus or department to another, so the experience a new staff member gets depends on who happens to be handling it. Important steps — like setting up accounts and tools, sharing key policies and documents, explaining how Silverleaf works, and introducing them to their team — can be missed, delayed, or repeated. This leaves new hires unclear on what's expected of them, slows down how quickly they become productive, and creates extra last-minute work each time someone joins. The challenge is to build one clear, standard onboarding and orientation process — with a checklist of steps, the right documents and access ready in advance, and a consistent welcome experience — so every new hire, on any campus or in any department, is set up properly and the same way each time.</t>
  </si>
  <si>
    <t>Build a standardised onboarding checklist and resource hub within Silverleaf's systems — covering tool access, key documents, policies, and a consistent welcome flow that applies to any campus or department.</t>
  </si>
  <si>
    <t>Every new hire, regardless of campus or department, goes through the same clear orientation process with the right documents, system access, and welcome experience — reducing delays and inconsistency.</t>
  </si>
  <si>
    <t>Operations/Finance</t>
  </si>
  <si>
    <t>Inventory &amp; Asset Management</t>
  </si>
  <si>
    <t>Baraka, Dan (Nelly) [Nehemia]</t>
  </si>
  <si>
    <t>Inventory and asset management remains a challenge due to the lack of a centralized and reliable tracking system for school resources. Assets such as laptops, tablets, projectors, furniture, and classroom materials are often spread across campuses or departments without clear ownership or accurate location records, making them difficult to track and manage. Stock levels for consumable supplies are not always visible in real time, leading to shortages or unnecessary purchases. Manual record-keeping also makes inventory checks time-consuming and prone to error, while limited tracking of maintenance and repairs reduces accountability and can result in lost, damaged, or underutilized resources.</t>
  </si>
  <si>
    <t>Introduce a centralised digital asset register with real-time stock visibility, clear ownership records per campus and department, and automated alerts for low consumables and scheduled maintenance checks.</t>
  </si>
  <si>
    <t>A single source of truth for all Silverleaf assets — enabling staff to see what exists, where it is, who is responsible, and when maintenance or restocking is needed, reducing loss and unnecessary spending.</t>
  </si>
  <si>
    <t xml:space="preserve">Fundraising Pipeline </t>
  </si>
  <si>
    <t>Fundraising program</t>
  </si>
  <si>
    <t>Krupa</t>
  </si>
  <si>
    <t>Finance budget sheet</t>
  </si>
  <si>
    <t>Transport, Kitchen, Facilities</t>
  </si>
  <si>
    <t>General ledger and budgeting mmodule currently. tested by Finance team, will ensure all departments send their budget requests through Ed admin.</t>
  </si>
  <si>
    <t>Transport – Fuel Control</t>
  </si>
  <si>
    <t>Transport – Attendance System</t>
  </si>
  <si>
    <t>Baraka</t>
  </si>
  <si>
    <t>Student attendance on transport is tracked manually, leading to errors and delayed reporting.</t>
  </si>
  <si>
    <t>Implement a QR code scanning system linked to a live dashboard with automated attendance reports.</t>
  </si>
  <si>
    <t>Automated (Andama System) to be piloted</t>
  </si>
  <si>
    <t>Co-Curricular Scheduling &amp; Communication</t>
  </si>
  <si>
    <t>QR tracking system is being piloted</t>
  </si>
  <si>
    <t>Frequent schedule changes are not communicated effectively to parents, teachers, and students, creating confusion and missed activities.</t>
  </si>
  <si>
    <t>Create a centralized activities calendar synced with the parent app, staff portal, and student dashboard so all stakeholders receive updates automatically.</t>
  </si>
  <si>
    <t>Fuel costs represent a significant and growing operational expense across Silverleaf's campuses, yet there is currently no centralised system in place to track consumption, monitor usage patterns, or calculate cost per kilometre. Vehicles are used across multiple campuses and departments without consistent logging of trips, distances, or fuel purchases, making it difficult to attribute costs accurately or identify where inefficiencies exist. Without visibility into how fuel is being consumed, it is impossible to know whether vehicles are being used appropriately, whether certain routes or drivers are disproportionately costly, or whether the current fleet size is justified. This lack of oversight also means that budget forecasting for fuel is largely based on estimates rather than reliable data, leading to either overspending or underfunding. The absence of accountability mechanisms further compounds the problem — there is no way to flag unusual consumption, detect misuse, or hold departments responsible for their usage. As a result, Silverleaf continues to absorb avoidable costs with no clear path to reducing them.</t>
  </si>
  <si>
    <t>Implement a centralised fuel tracking system that logs consumption, distance travelled, and cost per kilometre for each vehicle across all campuses and departments. The system should capture data per driver or vehicle, generate regular usage reports, and flag anomalies such as sudden spikes in consumption or cost. Integrating this with budget management tools would allow finance teams to monitor fuel expenditure in real time and allocate costs accurately to the relevant campus or department</t>
  </si>
  <si>
    <t xml:space="preserve">There is a system currently being piloted by Ops team, which can be looked at.
Currently Development
System(web system and Android application) is developed that has capabiilitities to generate QR code,sync infomations with the Android app and scanning qrcode to collect attendance
</t>
  </si>
  <si>
    <t>A single, transparent fuel management dashboard that gives Silverleaf real-time visibility into vehicle usage and costs — enabling data-driven decisions on fleet efficiency, reducing unnecessary expenditure, and ensuring accountability across all campuses.</t>
  </si>
  <si>
    <t>Transport, Kitchen, Facilities, Sanitation, Security</t>
  </si>
  <si>
    <t>Boarding Student Welfare &amp; Routines Monitoring</t>
  </si>
  <si>
    <t>Transport Attendance system – (QR) → Finance Integration</t>
  </si>
  <si>
    <t>Welfare logs are maintained manually and reporting is inconsistent, limiting leadership visibility into the daily wellbeing of boarding students.</t>
  </si>
  <si>
    <t>There is no link between transport attendance and student fee status, and parents are not notified promptly.</t>
  </si>
  <si>
    <t>Implement a digital residential management system with daily welfare logs, structured checklists, and a leadership dashboard for real-time oversight.</t>
  </si>
  <si>
    <t>Link QR code scans to the student finance database. Automatically check fee status on scan and trigger SMS/WhatsApp alerts to parents when a balance is pending or overdue.</t>
  </si>
  <si>
    <t xml:space="preserve">Data, Tech &amp; MEL - TAKE OFF </t>
  </si>
  <si>
    <t>Manual process</t>
  </si>
  <si>
    <t xml:space="preserve">Integrate the Above system with finance records which will add more functionalities to the system e.g Payment recharge </t>
  </si>
  <si>
    <t>MEL database</t>
  </si>
  <si>
    <t>Residential Walkthrough &amp; Cleanliness Audits</t>
  </si>
  <si>
    <t>Data Integration</t>
  </si>
  <si>
    <t>Walkthroughs are not consistently logged and there is no structured way to track patterns, assign action points, or monitor follow-through.</t>
  </si>
  <si>
    <t>Introduce a mobile checklist tool with photo evidence capture, issue tagging, and auto-generated reports so walkthroughs are structured and findings are actioned.</t>
  </si>
  <si>
    <t xml:space="preserve">Katya, Paul </t>
  </si>
  <si>
    <t>Automated / Standardized</t>
  </si>
  <si>
    <t>Mobile audit tool</t>
  </si>
  <si>
    <t>MEL processes remain a challenge because we currently lack a centralized database to consolidate monitoring, evaluation, and learning data in one place. Reports are often stored across different spreadsheets, tools, or departments, making it difficult to access complete information quickly, track progress consistently, or compare data over time. This fragmentation creates inefficiencies in reporting, limits visibility into program performance, increases manual work during data collection and analysis, and makes it harder for teams to generate timely insights for decision-making.</t>
  </si>
  <si>
    <t>Operational systems are not connected, requiring manual data transfer and creating inconsistencies.</t>
  </si>
  <si>
    <t>Build or adopt a centralised MEL database that consolidates monitoring, evaluation, and learning data in one place — with standardised data entry, shared access for relevant staff, and built-in reporting tools.</t>
  </si>
  <si>
    <t>Build a Central Operations Master System that integrates all departmental data into a single, accessible platform.</t>
  </si>
  <si>
    <t>Automated - Central ops system</t>
  </si>
  <si>
    <t>A unified MEL platform that allows teams to track progress, generate reports, and compare data across programs and time periods with minimal manual effort — supporting faster, more evidence-based decisions.</t>
  </si>
  <si>
    <t>Income, Expenses &amp; Inventory</t>
  </si>
  <si>
    <t>Billing &amp; Collections, Expense Management, Inventory Tracking</t>
  </si>
  <si>
    <t>Transport – Route Optimization</t>
  </si>
  <si>
    <t>Transport routes are inefficient, resulting in long travel times and unnecessary fuel costs.</t>
  </si>
  <si>
    <t>Parent Workshops &amp; Event Management</t>
  </si>
  <si>
    <t>Implement GPS-based route optimisation to reduce travel time and fuel expenditure across all routes.</t>
  </si>
  <si>
    <t>Tech enabled - GPS route planning tool</t>
  </si>
  <si>
    <t>Transport – Occupancy Tracking</t>
  </si>
  <si>
    <t>Sign-ins at events are manual and there is limited data available on participation levels or attendee satisfaction.</t>
  </si>
  <si>
    <t>Buses are either under or over-utilised due to a lack of real-time occupancy visibility.</t>
  </si>
  <si>
    <t>Marketing &amp; Admissions</t>
  </si>
  <si>
    <t>Introduce an automated occupancy dashboard so transport managers can monitor utilisation and allocate vehicles efficiently.</t>
  </si>
  <si>
    <t>Introduce online event registration, QR check-in, automated reminders, and a post-event feedback system to improve attendance tracking and event quality.</t>
  </si>
  <si>
    <t>Tech enabled- Occupancy dashboard</t>
  </si>
  <si>
    <t>Event management system</t>
  </si>
  <si>
    <t>Enrollment, CRM &amp; Communications</t>
  </si>
  <si>
    <t>Automated / SOP</t>
  </si>
  <si>
    <t>Enrollment, Campus Tours, CRM, Digital Marketing, Parent Retention</t>
  </si>
  <si>
    <t>Facilities – Asset Management</t>
  </si>
  <si>
    <t>Assets across campuses are not clearly tracked, making it difficult to maintain accountability or plan replacements. Also maintanance requests need to be tracked clearly</t>
  </si>
  <si>
    <t>Create an asset register with QR tagging and condition tracking so all assets are logged, located, and monitored.</t>
  </si>
  <si>
    <t>Tech enabled- Asset register system (Ed Admin)</t>
  </si>
  <si>
    <t>https://bit.ly/marketingSIS</t>
  </si>
  <si>
    <t>Student Recognition &amp; Awards Tracking</t>
  </si>
  <si>
    <t>Recognition records are scattered across different systems and individuals, making it difficult to ensure fairness, consistency, or visibility of achievements.</t>
  </si>
  <si>
    <t>Deploy a digital recognition tracker with nomination forms, criteria-based scoring, and individual student achievement profiles to make recognition structured and transparent.</t>
  </si>
  <si>
    <t>Recruitment</t>
  </si>
  <si>
    <t>SOP (Simple google form created to track all students receiving awards just for the record)</t>
  </si>
  <si>
    <t>Recruitment process as a whole</t>
  </si>
  <si>
    <t>Learning and Behaviour Management</t>
  </si>
  <si>
    <t>Behavior incidents are documented manually, communication with parents is delayed, and follow-up is inconsistent across staff and campuses.</t>
  </si>
  <si>
    <t>Introduce a behavior tracking system with automated parent notifications, structured intervention logs, and trend reports to support consistent and timely responses.</t>
  </si>
  <si>
    <t>Security – Entry/Exit Control</t>
  </si>
  <si>
    <t>Visitor and contractor access is logged manually, creating a security risk and poor audit trail.</t>
  </si>
  <si>
    <t>Introduce a digital visitor log with ID or QR verification so all entry and exit is recorded accurately and securely.</t>
  </si>
  <si>
    <t>Tech enabled-Digital visitor log</t>
  </si>
  <si>
    <t>People, Payroll &amp; Development</t>
  </si>
  <si>
    <t>Automated / AI-powered</t>
  </si>
  <si>
    <t>Recruitment, Onboarding, Performance, Payroll, Compliance</t>
  </si>
  <si>
    <t>Staff-to-Operations Team Reporting System</t>
  </si>
  <si>
    <t xml:space="preserve">Staff report Ops. related issues to operations department via calls and emails. 
</t>
  </si>
  <si>
    <t>Introduce an automated reporting tool to capture issues raised by staff and forward them to the Operations Team to resolve</t>
  </si>
  <si>
    <t>Data, Tech &amp; MEL</t>
  </si>
  <si>
    <t xml:space="preserve">Automated / Tech-enabled </t>
  </si>
  <si>
    <t>Systems, Data &amp; Reporting</t>
  </si>
  <si>
    <t>Ed-admin, MEL, IT Systems, Asset Management</t>
  </si>
  <si>
    <t>Students &amp; Parents Data access</t>
  </si>
  <si>
    <t>The Ops team has no single source of truth when it comes to parents and students information</t>
  </si>
  <si>
    <t>Have a single source of truth, (Database) to ensure they have access to the correct details at all times.</t>
  </si>
  <si>
    <t>Enrollment dashboards</t>
  </si>
  <si>
    <t>Student Experience</t>
  </si>
  <si>
    <t>Welfare, Boarding &amp; Engagement</t>
  </si>
  <si>
    <t>Safeguarding, Boarding, Trips, Daycare, Parent Engagement</t>
  </si>
  <si>
    <t>Academic</t>
  </si>
  <si>
    <t>Revenue Reporting</t>
  </si>
  <si>
    <t>Teaching, Learning &amp; Quality</t>
  </si>
  <si>
    <t>School fee collection data is consolidated manually, making it slow to produce accurate and up-to-date revenue reports.</t>
  </si>
  <si>
    <t>Build automated dashboards showing real-time collection status, outstanding balances, and payment trends across current and previous years.</t>
  </si>
  <si>
    <t>Tech enabled</t>
  </si>
  <si>
    <t>Teaching &amp; Learning, Assessment, Data, Professional Development</t>
  </si>
  <si>
    <r>
      <rPr>
        <rFont val="Times"/>
        <color rgb="FF1155CC"/>
        <sz val="11.0"/>
        <u/>
      </rPr>
      <t>Ed-admin</t>
    </r>
    <r>
      <rPr>
        <rFont val="Times"/>
        <color rgb="FF1F1F1F"/>
        <sz val="11.0"/>
      </rPr>
      <t xml:space="preserve"> </t>
    </r>
  </si>
  <si>
    <t>Expansion</t>
  </si>
  <si>
    <t>Data Collection and Reporting</t>
  </si>
  <si>
    <t>Data collection,Centralization of Records and Reporting</t>
  </si>
  <si>
    <t>Runshule</t>
  </si>
  <si>
    <t>Column</t>
  </si>
  <si>
    <t>Label</t>
  </si>
  <si>
    <t>What it means</t>
  </si>
  <si>
    <r>
      <rPr>
        <color rgb="FF1155CC"/>
        <sz val="10.0"/>
        <u/>
      </rPr>
      <t xml:space="preserve">Ed admin </t>
    </r>
    <r>
      <rPr>
        <sz val="10.0"/>
      </rPr>
      <t>through the Fee adminsistration module can resolve this challenge, the team will be onboarded into the module and test it with two campuses (AM and Ilboru)</t>
    </r>
  </si>
  <si>
    <t>A</t>
  </si>
  <si>
    <t>SN No.</t>
  </si>
  <si>
    <t>A unique reference number for each process (e.g. 1.1, 1.2) so the team can refer to specific items quickly in meetings and reports</t>
  </si>
  <si>
    <t>Expense Request</t>
  </si>
  <si>
    <t>Staff submit expense requests through multiple informal channels, creating fragmentation and making it difficult to track or process requests efficiently.</t>
  </si>
  <si>
    <t>Develop a simple, accessible app that allows any staff member to submit an expense request directly, ensuring all requests are captured in one place.</t>
  </si>
  <si>
    <t>Automated system that allows staff to submit their requests directly</t>
  </si>
  <si>
    <t>B</t>
  </si>
  <si>
    <t>Process / Department</t>
  </si>
  <si>
    <t>The name of the specific process or area being improved within the department</t>
  </si>
  <si>
    <t>Requisitions &amp; Purchasing module from Ed adin. The Finance team has been trained o how to do it. Further support available</t>
  </si>
  <si>
    <t>Expense Internal Approvals</t>
  </si>
  <si>
    <t>Approval routing is handled manually, causing delays and creating the risk of duplicate or unauthorized requests passing through undetected.</t>
  </si>
  <si>
    <t>Implement an automated approval workflow with a defined hierarchy, real-time alerts at each stage, and automatic detection of duplicate submissions.</t>
  </si>
  <si>
    <t>Automated expense system to allow full circle from Expense submission, approvals, payment and receipt submitted</t>
  </si>
  <si>
    <t>C</t>
  </si>
  <si>
    <t>Inventory Tracking</t>
  </si>
  <si>
    <t>A clear description of what is not working today and why it is a problem for the organization</t>
  </si>
  <si>
    <t>Stock movements are recorded manually and updates are irregular, resulting in inaccurate inventory balances for items such as uniforms and supplies.</t>
  </si>
  <si>
    <t>Deploy an automated stock movement tracking system with a simple app interface for logging distribution, usage, or sales, ensuring inventory balances are always current.</t>
  </si>
  <si>
    <t>Automated inventory management system</t>
  </si>
  <si>
    <t>Inventory Controls &amp; Spot Audits</t>
  </si>
  <si>
    <t>Stock variances between physical counts and system records are difficult to identify quickly, weakening inventory controls.</t>
  </si>
  <si>
    <t>D</t>
  </si>
  <si>
    <t>Introduce automated variance reporting and real-time alerts when physical stock levels differ from system records, supported by structured spot audit SOPs.</t>
  </si>
  <si>
    <t>What will be done to fix it — the specific solution, system, or workflow that will be implemented</t>
  </si>
  <si>
    <t>Receivables Monitoring &amp; Follow-up</t>
  </si>
  <si>
    <t>Overdue balances are tracked manually, leading to delayed follow-up and inconsistent communication with parents.</t>
  </si>
  <si>
    <t>Deploy automated overdue reminders and escalation alerts for unpaid balances so that follow-up is triggered on time and tracked centrally.</t>
  </si>
  <si>
    <r>
      <rPr>
        <rFont val="Times"/>
        <color rgb="FF000000"/>
        <sz val="10.0"/>
      </rPr>
      <t xml:space="preserve">Automated Bulk SMS/Emails and reminders sent to parents automaticaly
</t>
    </r>
    <r>
      <rPr>
        <rFont val="Times"/>
        <color rgb="FF1155CC"/>
        <sz val="10.0"/>
        <u/>
      </rPr>
      <t>Ed admin</t>
    </r>
    <r>
      <rPr>
        <rFont val="Times"/>
        <color rgb="FF000000"/>
        <sz val="10.0"/>
      </rPr>
      <t xml:space="preserve"> Parents Portal has these capabilities as well.</t>
    </r>
  </si>
  <si>
    <t>E</t>
  </si>
  <si>
    <t>How the improvement will be delivered: Automated, Tech enabled, Standardized (SOP), or a combination</t>
  </si>
  <si>
    <t>Runshule has a bulk SMS and Fee reminders feature currently used.</t>
  </si>
  <si>
    <t>F</t>
  </si>
  <si>
    <t>Link / Resources</t>
  </si>
  <si>
    <t>The current system or tool being used  (e.g. Ed-admin, Runshule, Google Forms) — this shows what platform the solution will be built on or integrated with. For the ones which are not linked, it's the system the team wish to have that can perform similar task</t>
  </si>
  <si>
    <t>Vendor Payments</t>
  </si>
  <si>
    <t>Payment scheduling and tracking is done manually, increasing the risk of missed or late payments to vendors.</t>
  </si>
  <si>
    <t>G</t>
  </si>
  <si>
    <t>All items on the priority list are planned to be completed within 3 months</t>
  </si>
  <si>
    <t>Receipting &amp; Petty Cash</t>
  </si>
  <si>
    <t>Paper receipts are used for petty cash and uploads are frequently delayed, reducing the accuracy of financial records.</t>
  </si>
  <si>
    <t>Implement a digital receipting system linked to the accounting platform, allowing staff to upload receipts immediately and reducing errors in petty cash tracking.</t>
  </si>
  <si>
    <t xml:space="preserve">User Experiences - HCD </t>
  </si>
  <si>
    <t>Explore Ed admin and other systems</t>
  </si>
  <si>
    <t>Collections &amp; Receipt Allocation</t>
  </si>
  <si>
    <t>Bank payments are matched to student accounts manually, causing errors and delays in confirming receipt of payment.</t>
  </si>
  <si>
    <t>Automate the matching of bank payments to student accounts and generate TRA receipts automatically. Send payment confirmations to parents via WhatsApp and SMS immediately upon allocation.</t>
  </si>
  <si>
    <t>Ensure we have a receipting systems where parents can receive TRA receipts immediately after making payment</t>
  </si>
  <si>
    <t>Developed Systems Links</t>
  </si>
  <si>
    <r>
      <rPr>
        <color rgb="FF1155CC"/>
        <sz val="10.0"/>
        <u/>
      </rPr>
      <t xml:space="preserve">Ed admin </t>
    </r>
    <r>
      <rPr>
        <sz val="10.0"/>
      </rPr>
      <t>through the Fee adminsistration module can resolve this challenge, the team will be onboarded into the module and test it with two campuses (AM and Ilboru)</t>
    </r>
  </si>
  <si>
    <t>Bank Reconciliation</t>
  </si>
  <si>
    <t>Bank reconciliation is performed manually and is time-consuming, delaying the availability of accurate financial data.</t>
  </si>
  <si>
    <t>Automate bank statement imports, transaction matching, and daily reconciliation reporting so that accounts are reconciled continuously and accurately.</t>
  </si>
  <si>
    <t xml:space="preserve">Automated bank reconciliation on a daily basis to ensure consistency in data and reporting. </t>
  </si>
  <si>
    <t xml:space="preserve">Stakeholder Type </t>
  </si>
  <si>
    <t>QuickBooks</t>
  </si>
  <si>
    <t>Budget vs Actual Monitoring</t>
  </si>
  <si>
    <t>Monthly budget vs actual reports are prepared manually, making them slow to produce and difficult to keep current.</t>
  </si>
  <si>
    <t>Automate the posting of transactions against budget lines and generate real-time dashboards showing budget vs actual performance across all cost centres.</t>
  </si>
  <si>
    <t>Automated QuickBook reports that allows dashboards to be generated for ease of visibility and monitoring</t>
  </si>
  <si>
    <t>Student Billing &amp; Fee Invoicing</t>
  </si>
  <si>
    <t>Fee invoices are created or adjusted manually, creating room for error and inconsistency across student accounts.</t>
  </si>
  <si>
    <t>Automate fee generation based on enrollment data, transport, boarding, and other approved charges so that invoices are produced accurately and without manual intervention.</t>
  </si>
  <si>
    <t>Invoicing automation via Runshule, despite students having different fees amounts to pay on an annual basis</t>
  </si>
  <si>
    <r>
      <rPr>
        <rFont val="Times"/>
        <color rgb="FF1155CC"/>
        <sz val="10.0"/>
        <u/>
      </rPr>
      <t>Runshule</t>
    </r>
    <r>
      <rPr>
        <rFont val="Times"/>
        <color rgb="FF1F1F1F"/>
        <sz val="10.0"/>
      </rPr>
      <t xml:space="preserve"> 
</t>
    </r>
    <r>
      <rPr>
        <rFont val="Times"/>
        <color rgb="FF1155CC"/>
        <sz val="10.0"/>
        <u/>
      </rPr>
      <t>Step-to-step student invoicing</t>
    </r>
  </si>
  <si>
    <t xml:space="preserve">Parent Experience </t>
  </si>
  <si>
    <r>
      <rPr>
        <color rgb="FF1155CC"/>
        <sz val="10.0"/>
        <u/>
      </rPr>
      <t xml:space="preserve">Ed admin </t>
    </r>
    <r>
      <rPr>
        <sz val="10.0"/>
      </rPr>
      <t>through the Fee adminsistration module can resolve this challenge, the team will be onboarded into the module and test it with two campuses (AM and Ilboru)</t>
    </r>
  </si>
  <si>
    <t xml:space="preserve">Different parent personas </t>
  </si>
  <si>
    <t xml:space="preserve">Student Experience </t>
  </si>
  <si>
    <t xml:space="preserve">Different Staff personas - UX map </t>
  </si>
  <si>
    <t xml:space="preserve">Suppliers </t>
  </si>
  <si>
    <t>KP &amp; NZ raise</t>
  </si>
  <si>
    <t xml:space="preserve">Total raise </t>
  </si>
  <si>
    <t xml:space="preserve">2.2M total raise </t>
  </si>
  <si>
    <t xml:space="preserve">Timeline </t>
  </si>
  <si>
    <t xml:space="preserve">2026 Sept - Dec 2028 (28 months) </t>
  </si>
  <si>
    <t xml:space="preserve">Total schools </t>
  </si>
  <si>
    <t xml:space="preserve">12 (7,500 students total) </t>
  </si>
  <si>
    <t>Breakeven year</t>
  </si>
  <si>
    <t xml:space="preserve">EBITA Steady state </t>
  </si>
  <si>
    <t>Net Margin (steady state)</t>
  </si>
  <si>
    <t xml:space="preserve">Committed </t>
  </si>
  <si>
    <t xml:space="preserve">1.3M already commited </t>
  </si>
  <si>
    <t xml:space="preserve">Apollo Investments ($800k), DEG ($200k), Ali Jaffer ($300k) </t>
  </si>
  <si>
    <t>Enrollment Process</t>
  </si>
  <si>
    <t xml:space="preserve">Status </t>
  </si>
  <si>
    <t xml:space="preserve">Term sheet final sign off next week </t>
  </si>
  <si>
    <t>The admissions process is largely manual and dependent on individual staff, leaving room for errors, missed follow-ups, and an inconsistent experience for prospective parents.</t>
  </si>
  <si>
    <t>Close date</t>
  </si>
  <si>
    <t>Deploy an intelligent chatbot on the website and WhatsApp to instantly answer common parent questions about fees, admissions requirements, and deadlines.
Automate lead capture and connect it directly to the CRM so no inquiry is missed.
Send automated status updates and document verification alerts to parents throughout the application process.
Set up automated follow-up sequences via email and WhatsApp to keep prospective families engaged.
Standardize admissions handling with clear SOPs for all staff to follow.</t>
  </si>
  <si>
    <t xml:space="preserve">4M pre money valuation </t>
  </si>
  <si>
    <r>
      <rPr>
        <rFont val="Times"/>
        <color rgb="FF0000FF"/>
        <sz val="10.0"/>
        <u/>
      </rPr>
      <t>Ed-admin</t>
    </r>
    <r>
      <rPr>
        <rFont val="Times"/>
        <color rgb="FF1F1F1F"/>
        <sz val="10.0"/>
        <u/>
      </rPr>
      <t xml:space="preserve"> - admissions form</t>
    </r>
  </si>
  <si>
    <t xml:space="preserve">Type </t>
  </si>
  <si>
    <t xml:space="preserve">Straight equity </t>
  </si>
  <si>
    <t xml:space="preserve">Funder shortlist - 3 highest liklihood </t>
  </si>
  <si>
    <t xml:space="preserve">HNWIs (Netflix Founder), Pansophic, Acumen, </t>
  </si>
  <si>
    <t xml:space="preserve">900k remaining </t>
  </si>
  <si>
    <t xml:space="preserve">Timing </t>
  </si>
  <si>
    <t xml:space="preserve">Signing term sheets by end july. Disbusrsments Sept </t>
  </si>
  <si>
    <t>Google sheets (Enrollment sheets)</t>
  </si>
  <si>
    <r>
      <rPr>
        <sz val="10.0"/>
      </rPr>
      <t xml:space="preserve">Ed-admi admissions module has the ability to capture leads information from the. first time they inquire about the school. The form is ready to be shared with parents for ease of making an application.
Here is the </t>
    </r>
    <r>
      <rPr>
        <color rgb="FF1155CC"/>
        <sz val="10.0"/>
        <u/>
      </rPr>
      <t>Ed admin admissions form</t>
    </r>
  </si>
  <si>
    <t>Campus Tour &amp; Appointment Booking</t>
  </si>
  <si>
    <t>Campus tours depend on walk-ins and are not structured, making it difficult to manage capacity, prepare the team, or follow up with visiting families systematically.</t>
  </si>
  <si>
    <t>Launch a self-service booking system accessible via the website, WhatsApp, or email so parents can schedule tours at their convenience.
Send automated booking confirmations to parents and notify the internal team immediately.
Set up calendar reminders at 24 hours and on the day of the tour.
Automatically share a pre-tour information pack covering the school profile and what to expect.
Trigger a follow-up message and feedback request after each visit.</t>
  </si>
  <si>
    <t>Phone calls to school admin office and random parent walkins</t>
  </si>
  <si>
    <t>Partnerships &amp; Institutional Outreach</t>
  </si>
  <si>
    <t>Partnerships with corporates, feeder schools, and community organizations are informal and inconsistent, limiting their contribution to enrollment growth.</t>
  </si>
  <si>
    <t>Build a structured partnership pipeline in the CRM covering corporates, feeder schools, and key organizations.
Track all outreach activity and relationship history centrally so nothing falls through the gaps.
Automate initial outreach emails and follow-up reminders for partnership conversations.
Define clear partnership offerings such as fee discounts, priority admissions, and co-branded events.
Send regular partner updates and performance reports to maintain strong relationships.</t>
  </si>
  <si>
    <t>Recruitment &amp; Hiring</t>
  </si>
  <si>
    <t>The hiring process is largely manual, creating room for errors and inconsistency. Key steps depend on individual follow-through rather than structured automation.</t>
  </si>
  <si>
    <t>Automate the end-to-end hiring workflow so that emails, task assignments, and candidate communications are triggered automatically. Human involvement is reserved for reviewing and decision-making only.</t>
  </si>
  <si>
    <t>Automated/Tech enabled(Simplified Comms system between HR and Candidates)</t>
  </si>
  <si>
    <t>View Link</t>
  </si>
  <si>
    <t>Admissions Funnel Management</t>
  </si>
  <si>
    <t>There are no clearly defined stages for the admissions journey, making it difficult to track where prospective families are, identify drop-off points, or intervene at the right time.</t>
  </si>
  <si>
    <t>Define clear funnel stages: Inquiry → Tour → Application → Enrollment.
Automate the movement of leads between stages based on actions taken.
Set up follow-up triggers at each stage so no family goes without contact.
Track conversion rates at every stage to identify where families are dropping off.
Create re-engagement campaigns for leads who have gone quiet.</t>
  </si>
  <si>
    <t>Digital Marketing</t>
  </si>
  <si>
    <t>The school's online presence is inconsistent and not generating enough leads from digital channels to support enrollment targets.</t>
  </si>
  <si>
    <t>Optimize the school website with clear enrollment calls to action on every key page.
Run targeted paid advertising campaigns on Google and social media to reach parents actively searching for schools.
Develop a social media content calendar and schedule posts in advance for consistency.
Build dedicated landing pages for specific campaigns to improve conversion rates.
Connect all lead capture forms directly to the CRM so leads are tracked from first contact.</t>
  </si>
  <si>
    <t>Website, Social &amp; Ads</t>
  </si>
  <si>
    <t>Marketing Events</t>
  </si>
  <si>
    <t>Events are under-optimized and not consistently used as an opportunity to capture leads and convert prospective families.</t>
  </si>
  <si>
    <t>Automate pre-event promotion through email, WhatsApp, and paid ads.
Use digital registration forms linked to the CRM to capture attendee details before the event.
Set up on-site lead capture for walk-in attendees.
Automate post-event follow-up messages and next-step invitations.
Track event performance from attendance through to enrollment to measure return on investment.</t>
  </si>
  <si>
    <t>Mass Communications</t>
  </si>
  <si>
    <t>Parent and prospect communications are one-directional, not personalized, and often delayed — reducing their effectiveness in driving action.</t>
  </si>
  <si>
    <t>Set up automated email and WhatsApp communication flows for key stages of the parent journey.
Segment messaging by audience: new leads, active applicants, enrolled parents, and lapsed prospects.
Send broadcast updates and reminders for key dates and announcements.
Trigger communications automatically based on specific events or actions.
Personalize messaging where possible using data from the CRM.</t>
  </si>
  <si>
    <t>Community Engagement</t>
  </si>
  <si>
    <t>Community outreach efforts are unplanned and inconsistent, limiting the school's visibility and its ability to convert community presence into enrollment.</t>
  </si>
  <si>
    <t>Plan a structured community outreach calendar aligned to the school year and key enrollment windows.
Ensure the school has a visible presence at local events and within key institutions and organizations.
Track all community engagement activity in the CRM to maintain relationships and measure impact.
Capture stories and content from community activities to use in marketing and social media.
Run follow-up engagement campaigns after community events to nurture new leads.</t>
  </si>
  <si>
    <t>SOP</t>
  </si>
  <si>
    <t>Staff Files &amp; Records Management</t>
  </si>
  <si>
    <t>Employee information is collected manually and stored inconsistently, making it difficult to maintain accurate and up-to-date staff records.</t>
  </si>
  <si>
    <t>Use pre defined system to collect staff data digitally and automatically store responses in a centralized, structured record system that is accessible and auditable.</t>
  </si>
  <si>
    <t>Sales &amp; Commissions</t>
  </si>
  <si>
    <t>Ed admi</t>
  </si>
  <si>
    <t>The admissions team does not have a structured sales process, and individual performance is not consistently tracked or rewarded based on results.</t>
  </si>
  <si>
    <t>Define a clear, step-by-step sales process with scripts and guidance for each stage of the funnel.
Link commission structures directly to enrollment conversions to drive motivation and accountability.
Track individual performance metrics per admissions staff member in the CRM.
Set up automated reminders for follow-ups so no lead is left uncontacted.
Integrate the sales process fully with CRM and funnel tracking for end-to-end visibility.</t>
  </si>
  <si>
    <r>
      <rPr>
        <color rgb="FF1155CC"/>
        <sz val="10.0"/>
        <u/>
      </rPr>
      <t>Link</t>
    </r>
    <r>
      <rPr>
        <sz val="10.0"/>
      </rPr>
      <t xml:space="preserve"> </t>
    </r>
  </si>
  <si>
    <t>Data Analytics &amp; Performance Tracking</t>
  </si>
  <si>
    <t>Marketing performance is not tracked in real time, meaning decisions are made reactively rather than based on current data.</t>
  </si>
  <si>
    <t>Build real-time dashboards tracking leads, conversions, and enrollments at every funnel stage.
Monitor key KPIs including cost per lead, conversion rates, and performance by source.
Track all campaign performance across ads, events, and referral programs.
Generate automated monthly performance reports for leadership review.
Analyse funnel drop-off points to identify where improvements will have the most impact.</t>
  </si>
  <si>
    <t>Leads dashboard</t>
  </si>
  <si>
    <t>CRM System</t>
  </si>
  <si>
    <t>Leads and parent interactions are not tracked centrally, causing missed follow-ups, duplicated effort, and no visibility of the full parent journey.</t>
  </si>
  <si>
    <t>Set up a centralized CRM that captures every lead from all sources: website, WhatsApp, events, and walk-ins.
Auto-assign leads to team members with deadlines and reminders to ensure prompt follow-up.
Track the full parent journey from first inquiry through to enrollment and long-term retention.
Store all communication history in one place so any team member can see the full picture.
Automate follow-up triggers so no lead goes cold without an intervention.</t>
  </si>
  <si>
    <t>Parent Experience &amp; Retention</t>
  </si>
  <si>
    <t>Once a family enrolls, structured engagement largely stops — reducing satisfaction, limiting referrals, and increasing the risk of families leaving.</t>
  </si>
  <si>
    <t>Build an automated welcome and onboarding journey for all newly enrolled families.
Send regular newsletters and school updates to keep parents informed and connected.
Collect feedback consistently and respond in a timely and visible way.
Launch a referral program with automated prompts and tracking to encourage word-of-mouth growth.
Personalize engagement around key moments such as student milestones and achievements.</t>
  </si>
  <si>
    <t>Academic &amp; School Systems</t>
  </si>
  <si>
    <t>Data is split between Google Sheets and Ed-admin, creating duplication and gaps in visibility. Key academic data such as walkthrough records cannot flow seamlessly between systems.</t>
  </si>
  <si>
    <t>Establish Ed-admin as the single source of truth for all academic data. Remove parallel use of Google Sheets and replace with automated data entry flows.</t>
  </si>
  <si>
    <t>Tech enabled/SOP</t>
  </si>
  <si>
    <t>Leave Management</t>
  </si>
  <si>
    <t>Tracking leave across multiple campuses is difficult and time-consuming, with no real-time visibility of balances or approvals.</t>
  </si>
  <si>
    <t>Deploy an automated leave tracker with structured approval workflows and real-time visibility of leave balances and status across all campuses and locations.</t>
  </si>
  <si>
    <t xml:space="preserve">Ed admin leave managemet module </t>
  </si>
  <si>
    <t>Ed-Admin</t>
  </si>
  <si>
    <t>Academic Data &amp; Insights</t>
  </si>
  <si>
    <t>Data underutilised for decision-making; no teacher-level insights; learning gaps not identified or addressed in a timely manner.</t>
  </si>
  <si>
    <t>Build automated dashboards for teachers and leadership; introduce digital intervention tracking to address learning gaps promptly.</t>
  </si>
  <si>
    <t>Ed admin- Tech enabled</t>
  </si>
  <si>
    <t>Digital Systems Management</t>
  </si>
  <si>
    <t xml:space="preserve">Academic Master Sheet - SLA Standard </t>
  </si>
  <si>
    <t>Account creation requests arrive through multiple informal channels. There is no standardized process, which leads to delays, missed steps, and no clear record of system access or license ownership.</t>
  </si>
  <si>
    <t>Route all account creation requests through the HR system. Once a new staff member is added, an automated notification triggers the provisioning process.</t>
  </si>
  <si>
    <t>Automated(system intergration)</t>
  </si>
  <si>
    <t>Stup on the back end already done and team is trained</t>
  </si>
  <si>
    <t>The HR system has ability to send email to notify if the user needs to have an email when the candidate is qualified to join silverleaf for the first time.</t>
  </si>
  <si>
    <t>Employer Branding &amp; HR Communication</t>
  </si>
  <si>
    <t>Monitoring, Evaluation &amp; Learning</t>
  </si>
  <si>
    <t>Recruitment marketing is done manually and has limited reach, making it harder to attract quality candidates consistently.</t>
  </si>
  <si>
    <t>MEL data is stored across multiple tools and formats with no consistent structure. This makes it difficult to generate reliable insights or support evidence-based decisions.</t>
  </si>
  <si>
    <t>Bring all MEL materials into a single organized folder structure with clearly labeled shortcuts for quick access.</t>
  </si>
  <si>
    <t>Implement AI-powered recruitment marketing tools to optimize job advertisements, automate social media posting, and track candidate engagement across channels.</t>
  </si>
  <si>
    <t>Automated / AI</t>
  </si>
  <si>
    <t>—</t>
  </si>
  <si>
    <t>WIll require Ed admin API ($750 per Annum)</t>
  </si>
  <si>
    <t>2026 MEL FOLDER</t>
  </si>
  <si>
    <t>Student Support &amp; Intervention</t>
  </si>
  <si>
    <t>Students identified late for support; remedial provision is inconsistent; no early identification system or automated risk flagging.</t>
  </si>
  <si>
    <t xml:space="preserve">Performance Management,Probation Period Management
</t>
  </si>
  <si>
    <t>Implement automated alert system with risk flags; deploy structured digital program assignment and a small-group intervention scheduler.</t>
  </si>
  <si>
    <t xml:space="preserve">Appraisal forms are completed manually, feedback is often delayed, and tracking progress against goals is difficult without a central system.Probation start and end dates, performance reviews, and notice periods are tracked manually, increasing the risk of missed milestones or delayed action.
</t>
  </si>
  <si>
    <t>Deploy an online performance management system with automated appraisal cycles, goal-tracking dashboards, and AI-generated performance summaries to support timely and consistent reviews.Implement an automated probation tracking system that sends reminders for key milestones, collects performance feedback digitally, and notifies HR and line managers when action is required.
This will also include managers to fill forms and comments on the staffs they manage to have a real data to make decisions</t>
  </si>
  <si>
    <t>Manual Process</t>
  </si>
  <si>
    <t>Asset Management (Tech Devics management)</t>
  </si>
  <si>
    <t>To be covered by academic data and insights</t>
  </si>
  <si>
    <t>Devices and equipment are tracked manually using spreadsheets. Records become outdated quickly, ownership is unclear, and accountability across campuses is difficult to enforce.</t>
  </si>
  <si>
    <t>Deploy a centralized asset management system with automated workflows covering device registration, assignment, transfers, and status tracking.</t>
  </si>
  <si>
    <t>Health, Safety &amp; Workplace Environment</t>
  </si>
  <si>
    <t>Tech enabled(Asset tracking system)</t>
  </si>
  <si>
    <t>Incident reporting is done manually and safety compliance is difficult to monitor consistently across campuses.</t>
  </si>
  <si>
    <t>Introduce a digital incident reporting system with automated escalation alerts and a safety compliance tracking dashboard so that all incidents are logged and followed up promptly.</t>
  </si>
  <si>
    <t>Staff Professional Development</t>
  </si>
  <si>
    <t>New teachers lack structured onboarding; PD not tracked or aligned to subject needs; scheduling conflicts common; no measurable link between PD and outcomes.</t>
  </si>
  <si>
    <t xml:space="preserve">Training &amp; Development Talent Management &amp; Succession Planning
</t>
  </si>
  <si>
    <t>Deploy digital induction modules, PD attendance dashboards, subject-specific PD trackers, automated scheduling reminders, and outcome-linked dashboards.</t>
  </si>
  <si>
    <t xml:space="preserve">Training planning is done manually and there is no structured way to identify or address skill gaps across the staff population.There is no structured process for identifying high-potential staff or planning for future leadership needs across the organization.
</t>
  </si>
  <si>
    <t xml:space="preserve">Deploy a Learning Management System (LMS) that recommends courses based on role and performance data, sends automated training reminders, and issues digital certificates upon completion.Deploy an AI talent mapping system that analyses performance data, training history, and leadership assessments to identify high-potential staff and support succession planning decisions.
</t>
  </si>
  <si>
    <t>Telemabad</t>
  </si>
  <si>
    <t>Training Management</t>
  </si>
  <si>
    <t>Staff training is not tracked centrally and lacks a standard format. Completion rates are unknown, follow-up is inconsistent, and knowledge retention varies significantly across campuses.</t>
  </si>
  <si>
    <t>Implement a Learning Management System (LMS) to standardize, deliver, and track all staff training from a single platform.</t>
  </si>
  <si>
    <t>online based, Professional development and learning system)</t>
  </si>
  <si>
    <t>Compensation &amp; Benefits</t>
  </si>
  <si>
    <t>Benefits information is tracked manually and staff frequently contact HR with routine questions about payslips, allowances, and entitlements.</t>
  </si>
  <si>
    <t>Launch a digital self-service benefits portal where staff can view their payslips, benefits, and allowances at any time, supported by an AI chatbot to handle common queries without HR involvement.</t>
  </si>
  <si>
    <t>SLA 2025 PD and Coaching Plan</t>
  </si>
  <si>
    <t>Training</t>
  </si>
  <si>
    <t>Paytan</t>
  </si>
  <si>
    <t>IT Systems &amp; Support</t>
  </si>
  <si>
    <t>IT issues are reported informally via email or in person. There is no central log, making it hard to track progress, assign ownership, or identify recurring problems.</t>
  </si>
  <si>
    <t xml:space="preserve">Employee Engagement &amp; Culture,Employee Relations
</t>
  </si>
  <si>
    <t xml:space="preserve">Introduce a centralized ticketing system where every issue is logged, assigned, and tracked through a defined resolution workflow.
keeping track of solutions that solved problem occured, users can also add userful tips related to tech like links to courses, videos and pictures
</t>
  </si>
  <si>
    <t>Tech enabled(Ticketing system)</t>
  </si>
  <si>
    <t>Staff feedback is collected irregularly and overall engagement levels are difficult to measure or act on in a structured way.</t>
  </si>
  <si>
    <t>Introduce automated pulse surveys with AI-powered engagement analysis dashboards and sentiment tracking so that leadership has a continuous and reliable view of staff wellbeing and morale.</t>
  </si>
  <si>
    <t>HR Compliance &amp; Legal Issues</t>
  </si>
  <si>
    <t>Policy updates and contract compliance tracking are handled manually, creating risk of missed contract renewals or incomplete documentation.</t>
  </si>
  <si>
    <t>Implement an automated contract lifecycle management system with digital signatures, automated compliance alerts for expiring contracts, and notifications for missing or incomplete documentation.</t>
  </si>
  <si>
    <t>Automated and Notification system</t>
  </si>
  <si>
    <t>HR Planning &amp; Strategy</t>
  </si>
  <si>
    <t>Workforce planning is done using spreadsheets with no data-driven approach to forecasting staffing needs or anticipating turnover.</t>
  </si>
  <si>
    <t>Deploy an AI workforce planning tool that predicts future staffing needs based on enrollment trends and historical turnover patterns, enabling proactive and evidence-based planning.</t>
  </si>
  <si>
    <t>AI-powered(data and planning System)</t>
  </si>
  <si>
    <t>HR Data, Analytics &amp; Reporting</t>
  </si>
  <si>
    <t>HR reports are prepared manually and are time-consuming to produce, delaying access to key people data for leadership decisions.</t>
  </si>
  <si>
    <t>Build a real-time HR analytics dashboard that integrates recruitment, onboarding, leave, performance, and turnover data, with AI-generated insights to support strategic decisions.</t>
  </si>
  <si>
    <t>Automated / AI(Dashboard)</t>
  </si>
  <si>
    <t>Staff Attendance</t>
  </si>
  <si>
    <t>Find a way to link outcomes to be linked with Ed admin if we use the Talemabad kind of online training module</t>
  </si>
  <si>
    <t>Done manuallly on using books where staff write their names and signature while clocking and clock out</t>
  </si>
  <si>
    <t>Make it on a digital system</t>
  </si>
  <si>
    <r>
      <rPr>
        <color rgb="FF1155CC"/>
        <sz val="10.0"/>
        <u/>
      </rPr>
      <t>Ed-Admin</t>
    </r>
    <r>
      <rPr>
        <color rgb="FF1F1F1F"/>
        <sz val="10.0"/>
      </rPr>
      <t xml:space="preserve"> staff attendance module</t>
    </r>
  </si>
  <si>
    <t>Parent &amp; Community Engagement</t>
  </si>
  <si>
    <t>Parents not informed on time; unaware of homework expectations; low attendance at events; lack of overall engagement and awareness.</t>
  </si>
  <si>
    <t>Deploy automated SMS/WhatsApp/email alerts, digital homework sharing, digital event invites and reminders, and recorded/live digital parent workshops.</t>
  </si>
  <si>
    <t>Manual books</t>
  </si>
  <si>
    <t>Setup and training completed, HR team has to keep using the system</t>
  </si>
  <si>
    <t>WhatsApp, Phone calls, SMS, ED admin parent portal</t>
  </si>
  <si>
    <t>Do a survey on the ease of use for EdAmin by parents, then if the score is above 70% implement the email comms system. If not decide whether to send tutorials or keep existing comms systems.
Also explore using calendar &amp; events on EdAdmin.</t>
  </si>
  <si>
    <t>Teaching &amp; Learning</t>
  </si>
  <si>
    <t>Inconsistent lesson quality and instructional models; ineffective routines; weak differentiation for varied learners; inconsistent checking for understanding; low classroom engagement.</t>
  </si>
  <si>
    <t>Deploy standardized lesson templates, observation tracking, digital instructional model guides, automated formative assessment tools, and engagement monitoring analytics.</t>
  </si>
  <si>
    <t>Lesson templates, engagement tools</t>
  </si>
  <si>
    <t>Observation &amp; Walkthrough dashboards to be developed</t>
  </si>
  <si>
    <t>Technology Integration</t>
  </si>
  <si>
    <t>Low tech adoption in lessons; teachers underutilise devices; limited use of digital assessment tools across classrooms.</t>
  </si>
  <si>
    <t>Integrate EdTech platforms (Kahoot, ClassDojo, Quizizz); provide training with digital monitoring dashboards; deploy online assessment platforms with automated marking.</t>
  </si>
  <si>
    <t>SOP to guide Ed tech tools usage</t>
  </si>
  <si>
    <t>Might be good to understand the cadence for implementation as this is more of a instruction and learning support design (under lesson plans) than Data and Analytics.</t>
  </si>
  <si>
    <t>Academic Attainment</t>
  </si>
  <si>
    <t>Manual tracking of attainment against targets; performance varies across subjects; no class or campus-wide performance dashboards.</t>
  </si>
  <si>
    <t>Deploy automated digital dashboards tracking attainment by subject, class, and campus in real time.</t>
  </si>
  <si>
    <t>Data Dashboard from Ed admin reports</t>
  </si>
  <si>
    <t>EdTech platforms</t>
  </si>
  <si>
    <t>This is will be covered under 7.1</t>
  </si>
  <si>
    <t>Academic Operations &amp; Systems</t>
  </si>
  <si>
    <t>Manual scheduling is time-consuming; class assignments are inefficient; lesson plans not monitored; quality reviews are inconsistent.</t>
  </si>
  <si>
    <t>Introduce automated timetable generator, system-generated class allocation, and a digital lesson plan submission and review platform.</t>
  </si>
  <si>
    <t>ASC Timetable software</t>
  </si>
  <si>
    <t>ED-ADMIN — FEATURES BY FUNCTION AREA</t>
  </si>
  <si>
    <t>Site Sourcing &amp; Consultant Pipeline</t>
  </si>
  <si>
    <t>Timetable tools, submission platform</t>
  </si>
  <si>
    <t>$149 one time payment to have our own scheduler</t>
  </si>
  <si>
    <t>Learning Resource &amp; Library</t>
  </si>
  <si>
    <t>Unequal resource access; manual borrowing system; resources outdated; students not motivated to read; limited access to online materials.</t>
  </si>
  <si>
    <t>Implement digital inventory and allocation system, automated library management, digital reading rewards tracker, and a centralized digital learning repository.</t>
  </si>
  <si>
    <t>SOP to guide books borrowing (hard copies) and consider a server like Rachel for digital use</t>
  </si>
  <si>
    <t>No system</t>
  </si>
  <si>
    <t>Potential schools are identified informally through consultants and networks with no central tracking. Consultant reporting is inconsistent, making it hard to compare opportunities.</t>
  </si>
  <si>
    <t>This will be implemented on EdAdmin, for Library Circulation and Inventory management. An online repository will require a feasibility study i.e how many devices can we avail, and internet connectivity.</t>
  </si>
  <si>
    <t>Create a structured digital pipeline for all potential acquisition, lease, or purchase opportunities. Standardise consultant reporting using a digital form capturing: school name, owner contact, location, student numbers, asking price/lease terms, facilities, and photos. All entries feed directly into the central database.</t>
  </si>
  <si>
    <t>Expansion Opportunity Database</t>
  </si>
  <si>
    <t>Site information is not stored centrally, making follow-up, comparison, and decision-making difficult.</t>
  </si>
  <si>
    <t>#</t>
  </si>
  <si>
    <t>Build and maintain a centralised database for all potential schools and sites, capturing: status, documents, photos, GPS coordinates, consultant notes, scoring history, and decision outcomes. This is the single source of truth for all expansion activity.</t>
  </si>
  <si>
    <t>FUNCTION AREA</t>
  </si>
  <si>
    <t>FEATURES</t>
  </si>
  <si>
    <t>Pre-Screening &amp; Site Scoring</t>
  </si>
  <si>
    <t>Key information is often incomplete before field visits. There is no clear scoring method to decide which sites are actually worth visiting, wasting the Expansion Officer's time.</t>
  </si>
  <si>
    <t>% OF TOTAL</t>
  </si>
  <si>
    <t>Combine a pre-screening checklist (to collect key details before any visit) with an automated scoring tool that ranks sites based on: location, student population, facility condition, growth potential, price, accessibility, and strategic fit. Only sites that meet the minimum score threshold proceed to a full field visit.</t>
  </si>
  <si>
    <t>In Use</t>
  </si>
  <si>
    <t>MODULE DESCRIPTION</t>
  </si>
  <si>
    <t>Field Due Diligence &amp; Site Assessment</t>
  </si>
  <si>
    <t>IMPLEMENTATION STATUS</t>
  </si>
  <si>
    <t>NOTES</t>
  </si>
  <si>
    <t>ED-ADMIN  —  COMPLETE FEATURE LIST</t>
  </si>
  <si>
    <t>Field visits capture inconsistent data across locations. Site GPS is not recorded for strategic mapping. Facility conditions and market/student potential are not assessed using a common framework, making cross-site comparison unreliable.</t>
  </si>
  <si>
    <t>Admissions</t>
  </si>
  <si>
    <t>Create one comprehensive mobile due diligence form (used by the Expansion Officer on-site) covering four integrated areas:
• Location &amp; GPS: Capture GPS coordinates; all sites plotted on a live map showing status and priority score.
• Facility &amp; Infrastructure: Classrooms, toilets, water, electricity, kitchen, playground, safety, repairs needed, and upgrade cost estimate.
• Student &amp; Market Potential: Current enrolment, nearby population, competing schools, fee levels, parent demand, and growth projection.
• Visit Summary: Photos, risks, notes, and overall site recommendation.</t>
  </si>
  <si>
    <t>Currently in use</t>
  </si>
  <si>
    <t>Total Features: 151  |  Function Areas: 30  |  Source: Ed-Admin Complete Feature List</t>
  </si>
  <si>
    <t>Manages student applications, enrollment, and admission process.</t>
  </si>
  <si>
    <t>FEATURE NAME</t>
  </si>
  <si>
    <t>DESCRIPTION</t>
  </si>
  <si>
    <t xml:space="preserve">Implementation Status </t>
  </si>
  <si>
    <t>Completed &amp; Used</t>
  </si>
  <si>
    <t>▶  ADMISSIONS</t>
  </si>
  <si>
    <t>Communications</t>
  </si>
  <si>
    <t>Online Application — Website Integration</t>
  </si>
  <si>
    <t>Enrolment application form integrated into the school website and Ed-Admin, capturing data and delivering it directly to the Admissions Module.</t>
  </si>
  <si>
    <t>Facilitates emails, SMS, and notifications between school, staff, and parents.</t>
  </si>
  <si>
    <t>Portals &amp; Mobile Apps</t>
  </si>
  <si>
    <t>Financial &amp; Commercial Assessment</t>
  </si>
  <si>
    <t>In Progress</t>
  </si>
  <si>
    <t>Pricing, lease terms, acquisition costs, and upgrade costs are not analysed consistently across different sites, making financial comparison difficult.</t>
  </si>
  <si>
    <t>Create a standard financial assessment template to compare: acquisition or lease cost, renovation/upgrade cost, expected enrolment, projected revenue, operating cost estimate, and payback period. Output feeds into the site review summary and leadership approval pack.</t>
  </si>
  <si>
    <t>Online Application — Automatic Email Alerts</t>
  </si>
  <si>
    <t>Decision Review &amp; Leadership Approval</t>
  </si>
  <si>
    <t>Decisions rely on scattered notes rather than a structured recommendation. Approvals are delayed because information is incomplete or not packaged clearly for leadership.</t>
  </si>
  <si>
    <t>Automatic email alerts sent to the Admissions Registrar when new applications are submitted online.</t>
  </si>
  <si>
    <t>Combine into a single workflow: (1) Auto-generate a standard site review summary with score, risks, opportunity, photos, financial estimate, and recommendation. (2) Submit shortlisted sites to leadership through a structured approval workflow with all required documents and recommendation notes attached. Leadership can approve, reject, or request more information within the system.</t>
  </si>
  <si>
    <t>Negotiation Tracking</t>
  </si>
  <si>
    <t>Negotiations with school owners and landlords are not tracked systematically, leading to missed follow-ups and unclear terms.</t>
  </si>
  <si>
    <t>Online Application — Status Update Notifications</t>
  </si>
  <si>
    <t>5</t>
  </si>
  <si>
    <t>Track all active negotiations in the expansion database: negotiation status, agreed terms, pending issues, documents requested, counterparty contacts, and next steps. Automated reminders for follow-up actions.</t>
  </si>
  <si>
    <t>Automatic email alerts sent to parents and admissions staff for all status updates throughout the application process.</t>
  </si>
  <si>
    <t>Used for remote access</t>
  </si>
  <si>
    <t>Acquisition / Lease Handover</t>
  </si>
  <si>
    <t>Online Application — Configurable Process</t>
  </si>
  <si>
    <t>Completed</t>
  </si>
  <si>
    <t>Once a site is approved, the handover to Finance, Legal, Operations, and Academics is not structured, creating risk of tasks falling through the gaps.</t>
  </si>
  <si>
    <t>Application process can be configured for terms agreement, contact details, debit order information, and more.</t>
  </si>
  <si>
    <t>Create a post-approval handover checklist that automatically assigns responsibilities across Finance (payment/contracts), Legal (due diligence/agreements), Operations (setup), and Academics (campus readiness). Each department receives a task notification with deadline.</t>
  </si>
  <si>
    <t>Will not be Used</t>
  </si>
  <si>
    <t>Fee Administration</t>
  </si>
  <si>
    <t>Online Application — Payment Gateway Integration</t>
  </si>
  <si>
    <t>Application process can be integrated with an online payment gateway to collect application fees.</t>
  </si>
  <si>
    <t>Expansion Dashboard &amp; Reporting</t>
  </si>
  <si>
    <t>Leadership does not have real-time visibility on the expansion pipeline — how many sites are being tracked, at what stage, and what the projected outcome is.</t>
  </si>
  <si>
    <t>Online Application — Custom Fields</t>
  </si>
  <si>
    <t>Build a live dashboard showing: sites sourced, pre-screened, visited, shortlisted, rejected, under negotiation, approved, and projected school capacity. Accessible to KP and leadership at any time without requiring manual reports from the Expansion Officer.</t>
  </si>
  <si>
    <t>User can add unlimited extra questions requiring date, numeric, text or dropdown selection responses.</t>
  </si>
  <si>
    <t>0</t>
  </si>
  <si>
    <t>Online Application — Parent &amp; Dual Signatures</t>
  </si>
  <si>
    <t>Parents can digitally sign agreements and conditions. Optional dual-guardian sign-off: application only completes once both guardians have signed.</t>
  </si>
  <si>
    <t>Nova are using Ed-admin for all accounts eceivables by the receivables team by preparing billing, upload MPesa/Bank statements to the SIS to update all student fee informatin and parents can receive reports through the Multi portal App.</t>
  </si>
  <si>
    <t>Online Application — Document Uploads</t>
  </si>
  <si>
    <t>Parents can upload supporting documents including school reports, birth certificates, and IDs. Student photo upload also supported.</t>
  </si>
  <si>
    <t>Not Started</t>
  </si>
  <si>
    <t>Online Application — Field Configuration</t>
  </si>
  <si>
    <t>Full control over which fields are optional, mandatory, or disabled. Public-facing labels can be renamed up to 100 characters.</t>
  </si>
  <si>
    <t>Online Application — Branding</t>
  </si>
  <si>
    <t>Calendar &amp; Events</t>
  </si>
  <si>
    <t>Institution colours can be applied for branding. A full copy of the completed application is emailed to the primary guardian.</t>
  </si>
  <si>
    <t>Admission Tracking — Data Management</t>
  </si>
  <si>
    <t>Parents capture application data into the core system; staff can add additional information or make changes.</t>
  </si>
  <si>
    <t>Admission Tracking — Online Payments</t>
  </si>
  <si>
    <t>Payment for registration can be set up to process new applications online.</t>
  </si>
  <si>
    <t>Admission Tracking — Reporting</t>
  </si>
  <si>
    <t>Reporting and view of applicant details including academic, aptitudes, interests, and financial status.</t>
  </si>
  <si>
    <t>Admission Tracking — Configurable Status Steps</t>
  </si>
  <si>
    <t>Ability to configure the admission process with any number of steps and statuses (e.g. Waiting, Assessed, Offered Position). Additional custom statuses can be added.</t>
  </si>
  <si>
    <t>Schedules school-wide events, activities, and important dates.</t>
  </si>
  <si>
    <t>Admission Tracking — Progress Tracking</t>
  </si>
  <si>
    <t>Micro-manage the admission process by breaking each status into smaller steps; take notes, upload attachments and mark each step complete.</t>
  </si>
  <si>
    <t>Admission Tracking — Weighted Matrix</t>
  </si>
  <si>
    <t>Ability to weight applications using a matrix with criteria such as living within a radius, parents are alumni, reference from previous institution, etc.</t>
  </si>
  <si>
    <t>Student Records</t>
  </si>
  <si>
    <t>Admission Tracking — Bulk Communication</t>
  </si>
  <si>
    <t>Bulk email and SMS to applicant groups based on status, year applied for, etc. Content personalised using merge codes.</t>
  </si>
  <si>
    <t>Centralized database for student personal, academic, and historical records.</t>
  </si>
  <si>
    <t>Admission Tracking — Automated Status Emails</t>
  </si>
  <si>
    <t>Send automatic emails based on status changes. Multiple templates can be created based on specific grades.</t>
  </si>
  <si>
    <t>Academic Management</t>
  </si>
  <si>
    <t>Application Information Capture — Detailed Profiles</t>
  </si>
  <si>
    <t>Admissions module captures contact information, previous institution, languages, nationalities, and health details including doctor, insurance, allergies, medication, and special health conditions.</t>
  </si>
  <si>
    <t>Handles subjects, grading structures, and academic workflows and setup.</t>
  </si>
  <si>
    <t>Application Information Capture — Custom Fields</t>
  </si>
  <si>
    <t>Create custom fields for institution-specific information; attach unlimited scanned documents. All admission data carries over to student records upon enrolment.</t>
  </si>
  <si>
    <t>Application Fee Processing — Receipting</t>
  </si>
  <si>
    <t>General Ledger &amp; Budgeting</t>
  </si>
  <si>
    <t>Record application fees received and issue receipts automatically posted to the accounting module. Full audit trail from application fee through enrolment to tuition fee.</t>
  </si>
  <si>
    <t>Enrolment Process</t>
  </si>
  <si>
    <t>Immediate enrolment button assigns student to subjects, grade book, class lists, attendance, library, and timetable automatically. Duplicate enrolment prevention built in. Bulk enrolment by grade supported.</t>
  </si>
  <si>
    <t>Assessment Premium</t>
  </si>
  <si>
    <t>Admission Reports</t>
  </si>
  <si>
    <t>Reports listing applications by grade, year of entry, or waiting list position. Configurable analysis reports for current year, upcoming year, and up to ten years into the future.</t>
  </si>
  <si>
    <t>Advanced tool for tracking, analyzing, and reporting student assessments.</t>
  </si>
  <si>
    <t>▶  CALENDAR &amp; EVENTS</t>
  </si>
  <si>
    <t>Dashboard</t>
  </si>
  <si>
    <t>Parent Records</t>
  </si>
  <si>
    <t>Multiple Calendar Views</t>
  </si>
  <si>
    <t>Create multiple calendars in daily, weekly, monthly and term views under different categories.</t>
  </si>
  <si>
    <t>3</t>
  </si>
  <si>
    <t>Stores parent/guardian contact details and relationships to students.</t>
  </si>
  <si>
    <t>Venue &amp; Event Booking</t>
  </si>
  <si>
    <t>Pastoral Care</t>
  </si>
  <si>
    <t>Personalised, combined calendars allowing booking by venue or events.</t>
  </si>
  <si>
    <t>Parent-Teacher Meeting Bookings</t>
  </si>
  <si>
    <t>Create Parent/Teacher meeting bookings allowing parents to select and book time slots through the Parent App.</t>
  </si>
  <si>
    <t>Attendance</t>
  </si>
  <si>
    <t>Full Integration</t>
  </si>
  <si>
    <t>Calendar and events fully integrated with the Parent Web Portal and Mobile App. Published events shared across all Ed-Admin portals and apps.</t>
  </si>
  <si>
    <t>Parent Outings &amp; Permissions</t>
  </si>
  <si>
    <t>Parents can authorise outings through Parent Portals and Mobile Apps. Reminder emails sent to non-responders. Response analysis shows who has or has not given permission.</t>
  </si>
  <si>
    <t>Google Calendar Integration</t>
  </si>
  <si>
    <t>Existing Google Calendars can be linked to show on Staff, Parent, and Student Mobile Apps.</t>
  </si>
  <si>
    <t>Actual &amp; Virtual Calendars</t>
  </si>
  <si>
    <t>Actual calendars target selective staff by area of work. Virtual calendars share events selectively with parents on the Parent Web Portal and App.</t>
  </si>
  <si>
    <t>Calendar Communication Features</t>
  </si>
  <si>
    <t>Email invitees with event updates; take attendance for meeting events; take minutes; email minutes; book venues and resources including costing.</t>
  </si>
  <si>
    <t>Tracks daily student attendance, tardiness, and absences.</t>
  </si>
  <si>
    <t>Reports</t>
  </si>
  <si>
    <t>Reports showing events by venue and all events in a list view.</t>
  </si>
  <si>
    <t>▶  COMMUNICATIONS</t>
  </si>
  <si>
    <t>Curriculum Management &amp; LMS</t>
  </si>
  <si>
    <t>Learning &amp; Behaviour (LBM)</t>
  </si>
  <si>
    <t>Bulk SMS &amp; Email</t>
  </si>
  <si>
    <t>Tracks student behaviour, discipline, and academic interventions.</t>
  </si>
  <si>
    <t>Send bulk SMS and email to all parents, sponsors, debtors, or staff by grade, class, program, area of work, etc.</t>
  </si>
  <si>
    <t>Server &amp; Infrastructure</t>
  </si>
  <si>
    <t>Bulk Email Attachments</t>
  </si>
  <si>
    <t>Attach newsletters, account statements and report cards to bulk emails at the press of a button, eliminating complex attachment routines.</t>
  </si>
  <si>
    <t>Staff Leave Management</t>
  </si>
  <si>
    <t>Merge Codes &amp; Personalisation</t>
  </si>
  <si>
    <t>A range of merge codes enables personalisation of every email and SMS with student/parent names, classes, years, and other data fields.</t>
  </si>
  <si>
    <t>Bulk Mobile App Notifications</t>
  </si>
  <si>
    <t>Send bulk notifications to Staff, Parent, Student, and Alumni Apps. Target specific audiences by grade, class, subject, activity, and house.</t>
  </si>
  <si>
    <t>Bulk News</t>
  </si>
  <si>
    <t>Create rich-text news with pictures to display on Staff, Parent, Student, and Alumni Apps. Set expiry dates for automatic removal of news items.</t>
  </si>
  <si>
    <t>Documentation Sharing</t>
  </si>
  <si>
    <t>Share documents with a selective audience via Apps. Create specific folders for school policies and general information.</t>
  </si>
  <si>
    <t>Manages all staff leave requests, approvals and keep records of all staff leave management resuests</t>
  </si>
  <si>
    <t>Bulk Label Printing</t>
  </si>
  <si>
    <t>Print class labels customised by size and merged data for younger and older students.</t>
  </si>
  <si>
    <t>Automated Emails &amp; Triggers</t>
  </si>
  <si>
    <t>Automatically send communications based on triggers including: status changes, absences, merits/demerits, overdue library books, overdue fees, and more.</t>
  </si>
  <si>
    <t>Delivery &amp; Open Tracking</t>
  </si>
  <si>
    <t>Track delivery and open/read status of all communications. Recipient summary showing number of families, guardians, and mobile app users reached.</t>
  </si>
  <si>
    <t>Report Writer Integration</t>
  </si>
  <si>
    <t>Link to the Report Writer to select specific recipients based on multiple criteria.</t>
  </si>
  <si>
    <t>Tracks daily staff attendance, late arrivals, and absences.</t>
  </si>
  <si>
    <t>▶  DASHBOARD</t>
  </si>
  <si>
    <t>Activity Management</t>
  </si>
  <si>
    <t>Information Hub</t>
  </si>
  <si>
    <t>Dynamic information portal with instant notice board for forums, news, events, and push notifications to Mobile Apps.</t>
  </si>
  <si>
    <t>Organizes extracurricular activities, clubs, and student participation.</t>
  </si>
  <si>
    <t>Learning Support</t>
  </si>
  <si>
    <t>Budget Dashboard</t>
  </si>
  <si>
    <t>Users can view their transactions, data, and charts against budget codes directly on the dashboard.</t>
  </si>
  <si>
    <t>Data Snapshots</t>
  </si>
  <si>
    <t>Library</t>
  </si>
  <si>
    <t>Graphical data snapshots showing basic statistics about the school and students.</t>
  </si>
  <si>
    <t>Security &amp; Customisation</t>
  </si>
  <si>
    <t>Security levels restrict staff to data relevant to their department. Users can customise their own dashboard view. Ability to post media (pictures, videos) and add hyperlinks to news.</t>
  </si>
  <si>
    <t>▶  ENQUIRY</t>
  </si>
  <si>
    <t>Inventory</t>
  </si>
  <si>
    <t>Helpdesk &amp; Asset Register</t>
  </si>
  <si>
    <t>Enquiry</t>
  </si>
  <si>
    <t>Online Enquiry Form</t>
  </si>
  <si>
    <t>Complement your website with online enquiry forms for potential parents and students. Track and respond to all enquiries with status updates.</t>
  </si>
  <si>
    <t>Bills Payable</t>
  </si>
  <si>
    <t>Automatic Emails &amp; Communication Log</t>
  </si>
  <si>
    <t>Enquiries automatically emailed to single or multiple addresses. View all communications with a party including dates, times, and staff member details. Assign follow-up actions.</t>
  </si>
  <si>
    <t>Requisitions &amp; Purchasing</t>
  </si>
  <si>
    <t>▶  PORTALS &amp; MOBILE APPS</t>
  </si>
  <si>
    <t>Transport Management</t>
  </si>
  <si>
    <t>Alumni &amp; Donor Management</t>
  </si>
  <si>
    <t>Parent Portal — Comprehensive Access</t>
  </si>
  <si>
    <t>Parents monitor student progress remotely: attendance, report cards, calendar, timetable, merits/demerits, activities, library, finance statements, health records, and more. One login for all children.</t>
  </si>
  <si>
    <t>Alumni Portal &amp; App</t>
  </si>
  <si>
    <t>Student Portal — Academic Access</t>
  </si>
  <si>
    <t>Students view attendance, calendar, timetable, report cards, assessment marks, and access the full Learning Management System from any device.</t>
  </si>
  <si>
    <t>No access to students</t>
  </si>
  <si>
    <t>Customisable Portal Features</t>
  </si>
  <si>
    <t>Institutions control which features are shown or hidden: News, Calendar, Assessment Feed, LBM, Activities, Report Cards, Attendance, Communication, Library, Re-enrolment, Parent-Teacher Meetings, Finance, Health Records, Documents, and more.</t>
  </si>
  <si>
    <t>Accounting — General</t>
  </si>
  <si>
    <t>Parent-Teacher Communication</t>
  </si>
  <si>
    <t>Direct email and messaging between parents, students, teachers, and staff from within the portal. Integrated email and chat functionality.</t>
  </si>
  <si>
    <t>Online Information Updates</t>
  </si>
  <si>
    <t>Parents and students update personal information, medical history, and contact details online; changes can be held pending institutional approval.</t>
  </si>
  <si>
    <t>Sessions with parents to onboard them on the system required</t>
  </si>
  <si>
    <t>Contacts</t>
  </si>
  <si>
    <t>Finance on Portal</t>
  </si>
  <si>
    <t>View statements and outstanding balances, obtain and pay invoices, view fee account balances, and print past and present invoices via the portal.</t>
  </si>
  <si>
    <t>Subject &amp; Activity Selection</t>
  </si>
  <si>
    <t>Students choose and enrol in elective subjects and extra-curricular activities via the portal. Requests may be approved by institution staff.</t>
  </si>
  <si>
    <t>Panic Button</t>
  </si>
  <si>
    <t>Students can quickly alert parents/guardians and related staff in an emergency.</t>
  </si>
  <si>
    <t>Health Screening &amp; NFC/QR Integration</t>
  </si>
  <si>
    <t>Health screening via Staff App with NFC cards, barcodes and QR code integration.</t>
  </si>
  <si>
    <t>Branding &amp; Auto-Invite</t>
  </si>
  <si>
    <t>Rich branding features for websites and mobile apps. Auto-invite feature sends reminders to parents, staff, students, and alumni to download the mobile app.</t>
  </si>
  <si>
    <t>Supplier Payments</t>
  </si>
  <si>
    <t>▶  PARENT RECORDS</t>
  </si>
  <si>
    <t>TOTAL</t>
  </si>
  <si>
    <t>Comprehensive Sponsor Database</t>
  </si>
  <si>
    <t>Easy view of both guardians and sponsors on one screen. Option for additional guardians (Guardian 3 and 4). Contact, address, and emergency details all in one place.</t>
  </si>
  <si>
    <t>Communication &amp; Audit Log</t>
  </si>
  <si>
    <t>Communication log of all correspondence. Full audit history logging every action including portal login history. Password security compliant with POPI Act.</t>
  </si>
  <si>
    <t>Reports &amp; Analysis</t>
  </si>
  <si>
    <t>Parent analysis reports to identify missing records (emails, phone numbers, addresses). Sibling reports to see all related students.</t>
  </si>
  <si>
    <t>Direct Email &amp; SMS</t>
  </si>
  <si>
    <t>Send email or SMS directly to a parent with a click of a button from within the Parent Records module.</t>
  </si>
  <si>
    <t>▶  STUDENT RECORDS</t>
  </si>
  <si>
    <t>Centralised Student Database</t>
  </si>
  <si>
    <t>Full registration information including start date, previous institution, and transfer details. Linked to parent records to avoid duplication. Powerful search by name, grade, class, or status.</t>
  </si>
  <si>
    <t>Academic &amp; Attendance View</t>
  </si>
  <si>
    <t>View academic progress, extracurricular activities, attendance records, timetables, and fee schedules directly from within the Student module.</t>
  </si>
  <si>
    <t>Health Records</t>
  </si>
  <si>
    <t>Full health and medical records including screening, immunisation, medication, allergies, and pop-up allergy warnings. Secure permission levels to restrict sensitive information.</t>
  </si>
  <si>
    <t>Communication Log</t>
  </si>
  <si>
    <t>Communication log showing all correspondence from the institution to the student. Direct email and SMS from student records.</t>
  </si>
  <si>
    <t>Behaviour &amp; Learning Support</t>
  </si>
  <si>
    <t>Quick view of LBM (merit/demerit) records. View learning support records including therapy, assessments, and exam accommodations.</t>
  </si>
  <si>
    <t>Full Audit History</t>
  </si>
  <si>
    <t>Complete audit trail logging every change with user, computer, and event details. Portal login history tracked.</t>
  </si>
  <si>
    <t>Reporting &amp; Analysis</t>
  </si>
  <si>
    <t>Dynamic report writer. Class lists with photos and custom columns. Enrolment analysis, student data analysis (missing data, siblings, parent links), statistical reports by gender, nationality, religion, and class.</t>
  </si>
  <si>
    <t>Transfer &amp; Custom Fields</t>
  </si>
  <si>
    <t>Access transfer cards and custom designs. National number capture (Lurits/Cemis). Student house reports. Student leaving/starting report by date range.</t>
  </si>
  <si>
    <t>▶  PASTORAL CARE</t>
  </si>
  <si>
    <t>House &amp; Tutor Management</t>
  </si>
  <si>
    <t>Take attendance by house or tutor group on desktop and mobile. Exeat/leave system for boarders. Weekday restrictions and Saturday DT attendance. Housemaster access to student profiles for report writing.</t>
  </si>
  <si>
    <t>Behaviour &amp; Discipline (LBM)</t>
  </si>
  <si>
    <t>Issue demerits and merits via desktop or mobile. Integrated academic and pastoral discipline system feeding appropriate workflows. Parent email notifications for demerits, merits, rewards and consequences.</t>
  </si>
  <si>
    <t>Health &amp; Wellbeing Management</t>
  </si>
  <si>
    <t>Sick bay attendance feeding workflows and class registers. Medical information linked to student profile. Sick bay stocktake and inventory. Daily medication scripts. Charge student accounts for medicine.</t>
  </si>
  <si>
    <t>Safeguarding</t>
  </si>
  <si>
    <t>Safeguarding concerns and risks flagged and sent to appropriate Safeguard lead, initiating necessary workflows.</t>
  </si>
  <si>
    <t>▶  LEAVE MANAGEMENT</t>
  </si>
  <si>
    <t>Online Leave Application</t>
  </si>
  <si>
    <t>All staff apply for leave online selecting from a range of leave types and attaching supporting documents. Email notifications to applicant and approval staff. Automated approval notifications.</t>
  </si>
  <si>
    <t>Leave Approval Process</t>
  </si>
  <si>
    <t>Approval uses the Reporting To hierarchy from the HR module. Configurable approval tiers (1, 2, or 3 levels). Leave administrator can override approvals. Applications rejected with notes kept on record.</t>
  </si>
  <si>
    <t>Paperless Leave Solution</t>
  </si>
  <si>
    <t>All leave application, documents and approvals are fully online. Leave administrators can stay in the loop, retract approved leaves, or intercept the approval process.</t>
  </si>
  <si>
    <t>▶  STAFF ATTENDANCE</t>
  </si>
  <si>
    <t>Biometric &amp; RFID Integration</t>
  </si>
  <si>
    <t>Staff attendance taken manually or via biometric devices. Check-in/check-out records automatically populate Ed-Admin. Integration with leave management and HR database.</t>
  </si>
  <si>
    <t>Work Schedules</t>
  </si>
  <si>
    <t>Group staff into work schedule groups covering full-time, part-time and weekend staff. Exclude non-working days, public holidays, and term breaks. SMS and email notifications for late arrivals or early departures.</t>
  </si>
  <si>
    <t>Reports &amp; Communications</t>
  </si>
  <si>
    <t>Staff attendance reports across the whole institution or by specific campus. All communications personalised using merge codes. Configurable email templates for the Leave Administrator.</t>
  </si>
  <si>
    <t>▶  ACADEMIC MANAGEMENT</t>
  </si>
  <si>
    <t>Subject &amp; Class Management</t>
  </si>
  <si>
    <t>Manage full subject range, assign rooms to teachers, allocate teachers to subjects, enrol students in classes. Create sets and divisions within subjects. Copy and re-integrate timetables term to term.</t>
  </si>
  <si>
    <t>Timetable Features</t>
  </si>
  <si>
    <t>Flexible period allocations (single, double, triple). Auto-detect conflict resolution. Import timetables from Excel, ASC, or Timetabler. Subject colour allocations. Multi-level student allocations across grades.</t>
  </si>
  <si>
    <t>Assessment &amp; Gradebooks</t>
  </si>
  <si>
    <t>Create custom gradebooks with flexible weightings. Bulk generate average and promotion marks. Set Year Mark weightings. SASAMS gradebook import for CAP schools.</t>
  </si>
  <si>
    <t>Grade Schedules &amp; Assessment Criteria</t>
  </si>
  <si>
    <t>Create schedules per grade matching percentages to letters or numbers (A*, A, B, C or 7, 6, 5, 4). Create assessment criteria linked to option sets (letters, numbers, symbols).</t>
  </si>
  <si>
    <t>Report Cards</t>
  </si>
  <si>
    <t>Control subjects, comments, page sequence, images, and dates on report cards. Use comment banks. Bulk print by grade or class. Publish report cards to Mobile Apps with access control.</t>
  </si>
  <si>
    <t>Academic Reports</t>
  </si>
  <si>
    <t>Range of standard and customisable analysis reports. Mark analysis, registers, class lists, reviews, and transcript generation. Export to PDF or print. Auto-populate term reports once assessments entered.</t>
  </si>
  <si>
    <t>▶  ACTIVITY MANAGEMENT</t>
  </si>
  <si>
    <t>Cultural &amp; Sports Groups</t>
  </si>
  <si>
    <t>Add/remove students and teachers from clubs, societies, music, and sports. Record co-curricular and sport involvement on student profiles. Take attendance via web and mobile app.</t>
  </si>
  <si>
    <t>Activity Categories &amp; Classifications</t>
  </si>
  <si>
    <t>Create unlimited activity groups and sub-categories (music, extra-curricular, sports). Classify activities by age or grade (e.g. U12, U14, open). Minimum and maximum uptake settings per activity.</t>
  </si>
  <si>
    <t>Activity Scheduling &amp; Integration</t>
  </si>
  <si>
    <t>Schedule activities with optional timetable periods. Effortlessly copy activities from previous terms. Integrated with assessment module and report cards. Export wizard for activity group access.</t>
  </si>
  <si>
    <t>▶  ASSESSMENT PREMIUM</t>
  </si>
  <si>
    <t>Gradebook &amp; Mark Entry</t>
  </si>
  <si>
    <t>Record marks in gradebooks with colour-coded percentage boundaries. Add notes to individual marks. Google Classroom one-way sync to pull marks into Ed-Admin. Bulk download mark sheets to Excel.</t>
  </si>
  <si>
    <t>Feedback &amp; Effort Ratings</t>
  </si>
  <si>
    <t>Provide qualitative comments per task uploaded to marks live feed. Provide instant effort ratings per task feeding into the markbook. Summative effort ratings appear on reports.</t>
  </si>
  <si>
    <t>Results Analysis</t>
  </si>
  <si>
    <t>View top performing students by ranking. Export full mark schedules, summary fields (effort, behaviour, work ethic), and assessment criteria. In-depth portfolio analysis by subject or phase. Custom field selection including gender, attendance, house, and more.</t>
  </si>
  <si>
    <t>Report Card Publishing</t>
  </si>
  <si>
    <t>Central control point to publish report cards by grade and template. Set permissions for targeted staff. Bulk report card checking, downloading, and archiving after publishing.</t>
  </si>
  <si>
    <t>Insight Menu</t>
  </si>
  <si>
    <t>Real-time access to critical student data: attendance, birthdays, comments, health data, leaving dates, learning support, parent-teacher notes, health incidents, and LBM records.</t>
  </si>
  <si>
    <t>▶  ATTENDANCE</t>
  </si>
  <si>
    <t>Daily &amp; Periodic Attendance</t>
  </si>
  <si>
    <t>Easy attendance recording on web and mobile. Multiple attendance types. Timetable integration including ASC for periodic attendance. House, Sick Bay, Cultural, Activities, and Sport attendance all supported.</t>
  </si>
  <si>
    <t>Attendance History &amp; Reporting</t>
  </si>
  <si>
    <t>Full attendance history by year for groups, tutor groups, and houses. Exception report for staff who have not taken attendance. Periodic attendance export. Compare attendance statistics across academic years and classes.</t>
  </si>
  <si>
    <t>Parent Notifications</t>
  </si>
  <si>
    <t>Generate automatic notification letters/emails when students are absent. Identify unwelcome absence trends. Biometric fingerprint integration at school entrance or classroom.</t>
  </si>
  <si>
    <t>Gradebook Integration</t>
  </si>
  <si>
    <t>Integrate attendance summaries into end-of-term reporting depending on the institution's reporting format.</t>
  </si>
  <si>
    <t>▶  CURRICULUM MANAGEMENT &amp; LMS</t>
  </si>
  <si>
    <t>Curriculum Mapping</t>
  </si>
  <si>
    <t>Curriculum mapping ensures consistency and alignment of learning standards, teaching content, and student outcomes. Document repository with workflow. Pacing tool for teachers to ensure all standards are covered.</t>
  </si>
  <si>
    <t>Learning Management System (LMS)</t>
  </si>
  <si>
    <t>LMS delivers curriculum online via the Student Portal. Teachers create and deliver content, receive digital assignments, and provide electronic feedback and grades. Reported on using the Assessment Module.</t>
  </si>
  <si>
    <t>Collaboration &amp; Community Tools</t>
  </si>
  <si>
    <t>Share reports, units, pacing guides, and assessments to encourage collaboration. Communicate with context via public comments. Involve parents, other institutions, and decision-makers via a public view.</t>
  </si>
  <si>
    <t>Customisable Templates</t>
  </si>
  <si>
    <t>Customisable curriculum map templates and settings. Assist new teachers with planning and clear expectations for student performance.</t>
  </si>
  <si>
    <t>▶  LEARNING &amp; BEHAVIOUR (LBM)</t>
  </si>
  <si>
    <t>Merit &amp; Demerit System</t>
  </si>
  <si>
    <t>Easy issuing of demerits and merits via desktop or mobile app. Integrated academic and pastoral discipline system feeding appropriate workflows. Full history accessible to teachers.</t>
  </si>
  <si>
    <t>Behaviour &amp; Consequence Records</t>
  </si>
  <si>
    <t>Document disciplinary incidents in detail. Track improper conduct, consequences, detentions, and rewards. Setup rules for automatic calculation of consequences and rewards. Track penalties served or owed.</t>
  </si>
  <si>
    <t>Parent &amp; Student Access</t>
  </si>
  <si>
    <t>Parents and students optionally access behaviour profiles privately and securely online via the Parent and Student App.</t>
  </si>
  <si>
    <t>Reports &amp; Notifications</t>
  </si>
  <si>
    <t>Customisable report writer for statistical reports, letters, and documents. Automatic email and SMS notifications for detentions. Discipline data filtered by pupil, type, term, or grade. Code of conduct report cards and reward certificates.</t>
  </si>
  <si>
    <t>▶  LEARNING SUPPORT</t>
  </si>
  <si>
    <t>Four Support Types</t>
  </si>
  <si>
    <t>Four types: Therapy (physical, emotional, psychological), Assessment (custom assessment categories), Exam Accommodation (special exam support with concession reports), and Notes (multi-purpose learning support records).</t>
  </si>
  <si>
    <t>Document Management &amp; Access Control</t>
  </si>
  <si>
    <t>Attach relevant documents to each student's learning support record. Permission control for staff to upload and view attachments. Set security levels to control who views sensitive information.</t>
  </si>
  <si>
    <t>History &amp; Export</t>
  </si>
  <si>
    <t>Full history tab for each student grouped by term. Full search and filter functionality. Export to Excel. Load assessors and therapists in the Contacts module.</t>
  </si>
  <si>
    <t>▶  LIBRARY</t>
  </si>
  <si>
    <t>Fully Integrated Library System</t>
  </si>
  <si>
    <t>Integrated with student, parent, and staff databases. Cataloguing by title, author, publisher, ISBN, barcode, Dewey, series, subject, or keyword. Students access from any networked device without logging in.</t>
  </si>
  <si>
    <t>Barcoding, RFID &amp; Circulation</t>
  </si>
  <si>
    <t>Unique student/staff ID cards with barcodes and photos. Automated barcode and label printing. Reservations, fines collection on overdue books, reserve shelf management. Email reminders for overdue books. Reserve books via the Parent App.</t>
  </si>
  <si>
    <t>Easy-to-understand reports on library catalogue, loans, overdue items, and borrowers. Multiple search and view modes including detailed email-able results view.</t>
  </si>
  <si>
    <t>▶  SERVER &amp; INFRASTRUCTURE</t>
  </si>
  <si>
    <t>Performance &amp; Availability</t>
  </si>
  <si>
    <t>Real-time updates with no lag. Available 24 hours a day. Remote access for dedicated servers. Overnight maintenance updates managed by the provider — no IT department involvement needed.</t>
  </si>
  <si>
    <t>Security</t>
  </si>
  <si>
    <t>Single Sign On (SSO). Two-Factor Authentication. Granular user role allocation. Encrypted password storage. POPIA compliant. Transactional log of all changes.</t>
  </si>
  <si>
    <t>Recovery &amp; Support</t>
  </si>
  <si>
    <t>Nightly backups with less than 24-hour recovery. 24/7 support. Access to all client upgrades.</t>
  </si>
  <si>
    <t>Interoperability</t>
  </si>
  <si>
    <t>Cross-browser compatible. Android and iOS apps. Integration with Microsoft Office Suite and Microsoft Teams API. Modern, intuitive user interface with table filtering and column customisation.</t>
  </si>
  <si>
    <t>▶  ACCOUNTING — GENERAL</t>
  </si>
  <si>
    <t>All-in-One Accounting Solution</t>
  </si>
  <si>
    <t>Ed-Admin's integrated accounting software consists of nine modules providing a complete financial management solution for the institution.</t>
  </si>
  <si>
    <t>▶  BILLS PAYABLE</t>
  </si>
  <si>
    <t>Supplier Invoice Management</t>
  </si>
  <si>
    <t>Record and track supplier invoices. Allocate invoices to multiple charts of accounts or cost centres (e.g. split utility invoice across campuses). Check account codes against budget. Generate and email purchase orders directly to suppliers.</t>
  </si>
  <si>
    <t>Supplier Reports</t>
  </si>
  <si>
    <t>Supplier aged balance reports in summary and detail. Supplier reconciliation reports covering any date range over multiple years. Ability to modify cost centre allocations after bill finalisation without reversing transactions.</t>
  </si>
  <si>
    <t>▶  CONTACTS</t>
  </si>
  <si>
    <t>Contact Database</t>
  </si>
  <si>
    <t>Record and access suppliers, customers, and general contacts. Bulk email and SMS to groups or individuals. Bind multiple persons to a contact. Categorise as General, Supplier, or Customer. Attach documentation. View suppliers in multi-currency.</t>
  </si>
  <si>
    <t>▶  FEE ADMINISTRATION</t>
  </si>
  <si>
    <t>Student Fee Billing</t>
  </si>
  <si>
    <t>Automatic billing of fees monthly, termly, or yearly. Automated bursaries, scholarships, and discounts. Billing for aftercare, activities, outings, and excursions. Staff discounted fee provisions. Multi-year billing for pre-enrolled students.</t>
  </si>
  <si>
    <t>Payment Plans &amp; Reminders</t>
  </si>
  <si>
    <t>Each debtor can have one or more commitment plans. Automated email and SMS payment reminders before due dates. Schedule personal call reminders for debtor staff.</t>
  </si>
  <si>
    <t>Batch Invoicing</t>
  </si>
  <si>
    <t>Batch invoicing for ad-hoc activities (outings, music lessons, aftercare). Direct import of student data from billable activities. Mass import of historical debtor transactions.</t>
  </si>
  <si>
    <t>Point of Sale — Uniforms &amp; Books</t>
  </si>
  <si>
    <t>Invoice for stocked items (uniforms, textbooks) and generate receipts on the spot. Integration with inventory database. Receipt can be printed, emailed, or SMSed. Stock automatically updated in real time with full audit trail.</t>
  </si>
  <si>
    <t>Debit Order Processing</t>
  </si>
  <si>
    <t>Process monthly, quarterly, or 6-monthly debit orders. Multiple debit orders per debtor. Setup for outstanding or fixed amounts. Automatic EFT file generation for bank upload. Import debit order details from prior systems.</t>
  </si>
  <si>
    <t>Aged Balance Management</t>
  </si>
  <si>
    <t>View aged balances by debtor type (boarders, monthly payers, debit order, termly, scholarships, 60/90 days overdue). Export to Excel. Generate for any period including prior years.</t>
  </si>
  <si>
    <t>Debtor Grouping &amp; CRM</t>
  </si>
  <si>
    <t>Group debtors into risk categories (Red Accounts, Handed-over, Past Debtors). View payment patterns. Email and SMS debtors directly from CRM with full communication log history.</t>
  </si>
  <si>
    <t>Receipting Functions</t>
  </si>
  <si>
    <t>Quick 15-second receipt processing. Allocate receipts to oldest invoices or specific invoices. Auto-email receipts to debtors. Batch receipting via bank statement import (XLSX and CSV). Auto-reverse receipts for corrections. Multiple currency support.</t>
  </si>
  <si>
    <t>Statements</t>
  </si>
  <si>
    <t>Consolidated or per-student statement formats. Configure components shown on statements. Address statements to family, specific guardian, or external company. Bulk email statements. Single or batch printing.</t>
  </si>
  <si>
    <t>Refundable Deposits &amp; Debentures</t>
  </si>
  <si>
    <t>Manage any number of ledger types (debtor or creditor) per parent or student. Transfer funds between ledgers. Show or hide non-tuition fee transactions on statements.</t>
  </si>
  <si>
    <t>▶  GENERAL LEDGER &amp; BUDGETING</t>
  </si>
  <si>
    <t>Silverleaf BPR — Ed-Admin Implementation Dashboard</t>
  </si>
  <si>
    <t>Chart of Accounts</t>
  </si>
  <si>
    <t>Flexible chart of accounts supporting 6–12 digit ranges. Structured for multiple campuses (up to 100,000). Supports income, expense, and other standard groupings with full migration capability from other systems.</t>
  </si>
  <si>
    <t>Journal Entry</t>
  </si>
  <si>
    <t>Fast journal entry via Excel import or on-screen entry. Multi-currency journal support. Cost centre allocation included with each journal.</t>
  </si>
  <si>
    <t>Cost Centre Management</t>
  </si>
  <si>
    <t>Cost centres cut across multiple account codes for accurate measurement by campus, project, or outing. Grouped into categories. Allocated to specific staff. Statements and reports viewable and emailable.</t>
  </si>
  <si>
    <t>Bank Reconciliation &amp; Statement Import</t>
  </si>
  <si>
    <t>Tech &amp; Automation Project, Q2 2026. Pulled automatically from the Feature Detail tab.</t>
  </si>
  <si>
    <t>Import bank statements from any format (XLS, XLSX, CSV). Powerful auto-allocation rules per bank statement row. Quick reconciliation (daily, weekly). Automatic PDF saving of each reconciliation. Electronic bank statements attached to each bank.</t>
  </si>
  <si>
    <t>Financial Reporting</t>
  </si>
  <si>
    <t>Multiple Trial Balance and Balance Sheet formats. Export all reports to Excel. Reports in multiple languages for statutory requirements. Statutory reports for non-default currencies.</t>
  </si>
  <si>
    <t>Budget Holder Dashboard</t>
  </si>
  <si>
    <t>Allocate charts of accounts to budget holders. Budget holders view transactions, utilisation, and charts. Leave comments against cost centres. Import budget from Excel (annual, monthly, or with line items). Budget making, circulation, and approval workflow.</t>
  </si>
  <si>
    <t>▶  INVENTORY</t>
  </si>
  <si>
    <t>Total Features</t>
  </si>
  <si>
    <t>Stock Management</t>
  </si>
  <si>
    <t>Inventory management maintaining average cost, sale price, and tax codes. Integrated with Customer Invoicing, Customer Payments, and Fee Administration. Average weighted cost for accurate item costing.</t>
  </si>
  <si>
    <t>Stock Adjustments &amp; Stores</t>
  </si>
  <si>
    <t>Easy stock-on-hand adjustments and inter-store transfers. Products can exist in multiple stores (front store, warehouse). Stock reports per store.</t>
  </si>
  <si>
    <t>Sales, Pricing &amp; Import</t>
  </si>
  <si>
    <t>Four sale price options per product for various customer types (student pricing, staff pricing, etc.). Sales and purchase history per item. Powerful Excel import for populating full inventory with barcodes, pricing, and supplier details.</t>
  </si>
  <si>
    <t>▶  REQUISITIONS &amp; PURCHASING</t>
  </si>
  <si>
    <t>Online Requisition Process</t>
  </si>
  <si>
    <t>Staff raise online purchase requisitions from any store. Approved and processed with Goods Received Notes. Requisitions tracked online. Consolidated purchase orders from same supplier. Budget code approval by procurement or budget holder.</t>
  </si>
  <si>
    <t>Purchase Orders &amp; Tracking</t>
  </si>
  <si>
    <t>Auto-generate PO numbers tracked from requisition to supplier invoice. Back-order process for undelivered goods. Large PO import from Excel. Quick budget utilisation check during approval. Auto-convert PO to supplier invoice.</t>
  </si>
  <si>
    <t>▶  SUPPLIER PAYMENTS</t>
  </si>
  <si>
    <t>Total  Ed admin Modules</t>
  </si>
  <si>
    <t>100% Features for SLA</t>
  </si>
  <si>
    <t>Payment Processing</t>
  </si>
  <si>
    <t>Fast entry of supplier payments with remittance email option. Store banking information for batch payments. Batch supplier payment function. EFT export for quick bank upload. Multi-currency payments with gain/loss handling. Rebates and settlement discounts.</t>
  </si>
  <si>
    <t>% Complete</t>
  </si>
  <si>
    <t>▶  HELPDESK &amp; ASSET REGISTER</t>
  </si>
  <si>
    <t>Fixed Asset Tracking</t>
  </si>
  <si>
    <t>Track all assets by purchase date, location, allocated staff, work order history, and disposal. Print barcodes per asset. Allocate quantities to assets not requiring unit tracking. Depreciation setup per asset or category.</t>
  </si>
  <si>
    <t>Help Desk Requests</t>
  </si>
  <si>
    <t>Online help desk requests for IT, maintenance, and training. Auto-notify appropriate operations manager who assigns to staff. SMS and email notifications. Link requests to specific equipment, building, or room. Work orders automatically mailed.</t>
  </si>
  <si>
    <t>Vehicle &amp; Transport Booking</t>
  </si>
  <si>
    <t>Vehicle booking forms. Driver schedule reports. Work order analysis reports. Report Writer for Asset Register and Work Order database.</t>
  </si>
  <si>
    <t>▶  TRANSPORT MANAGEMENT</t>
  </si>
  <si>
    <t>Route &amp; Passenger Management</t>
  </si>
  <si>
    <t>Allocate drivers and managers to all teams and tours. Allocate passengers to routes and buses. Attendance management. Fingerprint bus registration. Management of daily pickup and delivery buses. Once-off trip setup.</t>
  </si>
  <si>
    <t>Integration &amp; Communication</t>
  </si>
  <si>
    <t>Linked to Helpdesk, Staff, Student, and Parent modules — no duplicate data entry. Bulk SMS and email to parents of students on specific routes. Auto-update if parent contact details change. Fees module integration for transport fee charge.</t>
  </si>
  <si>
    <t>▶  ALUMNI &amp; DONOR MANAGEMENT</t>
  </si>
  <si>
    <t>Donor Management System</t>
  </si>
  <si>
    <t>Full-featured relationship management for donors and prospects. Accept one-time and recurring online donations. Track all donations. Volunteer management. Setup and track pledges.</t>
  </si>
  <si>
    <t>Alumni Tracking &amp; Engagement</t>
  </si>
  <si>
    <t>Track alumni biographies, family details, and life events. Create donation forms, plan events, and engage donors. Personalised mass communications to alumni and donors. Auto-classify students as Alumni upon departure.</t>
  </si>
  <si>
    <t>▶  ALUMNI PORTAL &amp; APP</t>
  </si>
  <si>
    <t>Portal Features</t>
  </si>
  <si>
    <t>Send email newsletters and manage contacts in one place. Integrated calendar for alumni events. Alumni news and blogs. Member locator tools. Integration with Facebook and LinkedIn for finding lost alumni. Online chat with alumni coordinator. Online payments and donations.</t>
  </si>
  <si>
    <t>Easy Online Promotion</t>
  </si>
  <si>
    <t>Online event promotion and registration. Alumni member registration via social networks. Grow and manage members with ease.</t>
  </si>
  <si>
    <t>Ed-Admin Complete Feature List  |  Total: 151 features across 30 function areas</t>
  </si>
  <si>
    <t>Digital Tools &amp; Systems Register</t>
  </si>
  <si>
    <t>A complete inventory of all technology platforms and digital systems in active use across the SLA network — including their purpose, responsible lead, and the departments they serve.</t>
  </si>
  <si>
    <t>Sn</t>
  </si>
  <si>
    <t>System</t>
  </si>
  <si>
    <t>Category</t>
  </si>
  <si>
    <t>Purpose / Usage</t>
  </si>
  <si>
    <t>Lead Person</t>
  </si>
  <si>
    <t>Departments</t>
  </si>
  <si>
    <t>Slack</t>
  </si>
  <si>
    <t>Communication</t>
  </si>
  <si>
    <t>A team messaging and collaboration platform used for real-time internal communication, departmental channels, file sharing, and project discussions across the SLA network.</t>
  </si>
  <si>
    <t>Paul</t>
  </si>
  <si>
    <t>OPS, Marketing, Finance, TA, SLT</t>
  </si>
  <si>
    <t>WhatsApp</t>
  </si>
  <si>
    <t>A mobile messaging application used for fast, day-to-day informal communication and quick updates among all staff members across all campuses.</t>
  </si>
  <si>
    <t>Lisa</t>
  </si>
  <si>
    <t>All</t>
  </si>
  <si>
    <t>Email</t>
  </si>
  <si>
    <t>The primary formal communication channel used for all official organizational correspondence, announcements, external partner communication, and document sharing.</t>
  </si>
  <si>
    <t>Google Workspace</t>
  </si>
  <si>
    <t>Productivity</t>
  </si>
  <si>
    <t>A cloud-based productivity and collaboration suite that provides staff with access to Gmail, Google Drive (file storage), Google Docs, Sheets, Slides, and Meet — enabling real-time teamwork and document management.</t>
  </si>
  <si>
    <t>Marketing, OPS, Finance</t>
  </si>
  <si>
    <t>An accounting and financial management software used to record income and expenses, manage invoices, track cash flow, and generate financial reports for the Finance team and leadership.</t>
  </si>
  <si>
    <t>Mercy</t>
  </si>
  <si>
    <t>PayTan</t>
  </si>
  <si>
    <t>HR/Finance</t>
  </si>
  <si>
    <t>An integrated HR and payments platform used to process staff leave requests, manage payroll, and handle school fee payments submitted by parents and guardians.</t>
  </si>
  <si>
    <t>HR, Finance</t>
  </si>
  <si>
    <t>School Info System</t>
  </si>
  <si>
    <t>A comprehensive school management system used to maintain student records, manage the admissions process, track academic data, and streamline administrative workflows across all campuses.</t>
  </si>
  <si>
    <t>RunShule</t>
  </si>
  <si>
    <t>A school operations platform used for tracking daily student attendance, managing fee collection and payment records, and facilitating direct communication between the school and parents.</t>
  </si>
  <si>
    <t>Google Maps/Earth</t>
  </si>
  <si>
    <t>Logistics</t>
  </si>
  <si>
    <t>A geolocation and mapping tool used by the Operations team to plan and optimize student transport routes, visualize campus locations, and support field logistics and planning.</t>
  </si>
  <si>
    <t>OPS</t>
  </si>
  <si>
    <t>Canva for Education</t>
  </si>
  <si>
    <t>Design</t>
  </si>
  <si>
    <t>A graphic design platform used to create professional visual content including marketing materials, social media graphics, school presentations, certificates, newsletters, and educational resources.</t>
  </si>
  <si>
    <t>Erick</t>
  </si>
  <si>
    <t>Marketing, Consultants</t>
  </si>
  <si>
    <t>Wix</t>
  </si>
  <si>
    <t>Web Management</t>
  </si>
  <si>
    <t>A website creation and content management platform used to build, update, and maintain the SLA public-facing website, including admissions pages, campus information, and announcements.</t>
  </si>
  <si>
    <t>Paul / Nehemia</t>
  </si>
  <si>
    <t>Marketing</t>
  </si>
  <si>
    <t>ChatGPT Business</t>
  </si>
  <si>
    <t>AI Productivity</t>
  </si>
  <si>
    <t>An AI-powered writing and research assistant used across departments for drafting content, conducting research, summarizing documents, and exploring workflow automation possibilities.</t>
  </si>
  <si>
    <t>Paul / Krupa</t>
  </si>
  <si>
    <t>Fellow AI</t>
  </si>
  <si>
    <t>AI Meetings</t>
  </si>
  <si>
    <t>An AI-enhanced meeting management tool used to prepare structured agendas before meetings, capture real-time meeting notes, and automatically generate and track action items for follow-up.</t>
  </si>
  <si>
    <t>Nelly</t>
  </si>
  <si>
    <t>Buffer</t>
  </si>
  <si>
    <t>Social media Post scheduler</t>
  </si>
  <si>
    <t>A social media scheduling and management platform used to plan, schedule, publish, and monitor content across SLA's social media channels to ensure consistent online presence.</t>
  </si>
  <si>
    <t>Claude</t>
  </si>
  <si>
    <t>AI Assistant</t>
  </si>
  <si>
    <t>An advanced AI assistant used for writing, analysis, data interpretation, report generation, and workflow automation support across teams and departments within the SLA network.</t>
  </si>
  <si>
    <t>Classdojo</t>
  </si>
  <si>
    <t>Education Technology</t>
  </si>
  <si>
    <t>communication and behavior management platform designed to connect teachers, students, and families to build positive classroom communities</t>
  </si>
  <si>
    <t>Talent Manager</t>
  </si>
  <si>
    <t>Expansion System</t>
  </si>
  <si>
    <t>Onboarding System</t>
  </si>
  <si>
    <t>Hiring</t>
  </si>
  <si>
    <t>ops</t>
  </si>
  <si>
    <t>transport</t>
  </si>
  <si>
    <t xml:space="preserve">ops  </t>
  </si>
  <si>
    <t>ticketing system</t>
  </si>
  <si>
    <t>mark/student exp</t>
  </si>
  <si>
    <t>marketing/student experience</t>
  </si>
  <si>
    <t>alloyce</t>
  </si>
  <si>
    <t>Talent ACADEMY</t>
  </si>
  <si>
    <t>julius</t>
  </si>
  <si>
    <t xml:space="preserve">lesson plans </t>
  </si>
  <si>
    <t>Marketing Department</t>
  </si>
  <si>
    <t>Online Application — Form creation</t>
  </si>
  <si>
    <t>Online aplication form is set up in the backend and ready availbale to use by the admissions and marketing team</t>
  </si>
  <si>
    <t>Online Application — (Admissions team training)</t>
  </si>
  <si>
    <t>Admissions team and marketig team trained on how to access and use the online form</t>
  </si>
  <si>
    <t>Finance Department</t>
  </si>
  <si>
    <t>Student experience Department</t>
  </si>
  <si>
    <t>Status</t>
  </si>
  <si>
    <t>Count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</si>
</sst>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93">
    <font>
      <sz val="10.0"/>
      <color rgb="FF000000"/>
      <name val="Arial"/>
      <scheme val="minor"/>
    </font>
    <font>
      <sz val="11.0"/>
      <color rgb="FFFFFFFF"/>
      <name val="Calibri"/>
    </font>
    <font>
      <sz val="10.0"/>
      <color rgb="FFFFFFFF"/>
      <name val="Arial"/>
    </font>
    <font>
      <b/>
      <sz val="11.0"/>
      <color rgb="FF000000"/>
      <name val="Calibri"/>
    </font>
    <font>
      <sz val="11.0"/>
      <color rgb="FFFFFFFF"/>
      <name val="Times"/>
    </font>
    <font>
      <sz val="11.0"/>
      <color theme="1"/>
      <name val="Calibri"/>
    </font>
    <font>
      <sz val="10.0"/>
      <color rgb="FF000000"/>
      <name val="Arial"/>
    </font>
    <font>
      <sz val="10.0"/>
      <color rgb="FF222222"/>
      <name val="Arial"/>
    </font>
    <font>
      <sz val="11.0"/>
      <color rgb="FF000000"/>
      <name val="Times"/>
    </font>
    <font>
      <color theme="1"/>
      <name val="Arial"/>
      <scheme val="minor"/>
    </font>
    <font>
      <b/>
      <sz val="11.0"/>
      <color rgb="FFFFFFFF"/>
      <name val="Calibri"/>
    </font>
    <font>
      <sz val="11.0"/>
      <color theme="1"/>
      <name val="Arial"/>
      <scheme val="minor"/>
    </font>
    <font>
      <sz val="11.0"/>
      <color rgb="FF000000"/>
      <name val="Calibri"/>
    </font>
    <font>
      <sz val="10.0"/>
      <color theme="1"/>
      <name val="Arial"/>
    </font>
    <font>
      <b/>
      <color rgb="FFFFFFFF"/>
      <name val="Arial"/>
      <scheme val="minor"/>
    </font>
    <font/>
    <font>
      <u/>
      <sz val="11.0"/>
      <color rgb="FF0000FF"/>
      <name val="Times"/>
    </font>
    <font>
      <u/>
      <sz val="10.0"/>
      <color rgb="FF0000FF"/>
      <name val="Times"/>
    </font>
    <font>
      <u/>
      <color rgb="FF0000FF"/>
    </font>
    <font>
      <u/>
      <color rgb="FF0000FF"/>
    </font>
    <font>
      <sz val="11.0"/>
      <color rgb="FF000000"/>
      <name val="Arial"/>
      <scheme val="minor"/>
    </font>
    <font>
      <u/>
      <sz val="11.0"/>
      <color rgb="FF0000FF"/>
      <name val="Times"/>
    </font>
    <font>
      <sz val="10.0"/>
      <color rgb="FF000000"/>
      <name val="Times"/>
    </font>
    <font>
      <u/>
      <sz val="11.0"/>
      <color rgb="FF0000FF"/>
      <name val="Times"/>
    </font>
    <font>
      <u/>
      <sz val="10.0"/>
      <color rgb="FF0000FF"/>
    </font>
    <font>
      <sz val="10.0"/>
      <color theme="1"/>
      <name val="Times"/>
    </font>
    <font>
      <sz val="10.0"/>
      <color theme="1"/>
      <name val="Arial"/>
      <scheme val="minor"/>
    </font>
    <font>
      <u/>
      <sz val="10.0"/>
      <color rgb="FF000000"/>
      <name val="Times"/>
    </font>
    <font>
      <b/>
      <sz val="11.0"/>
      <color theme="1"/>
      <name val="Calibri"/>
    </font>
    <font>
      <sz val="10.0"/>
      <color rgb="FF0C447C"/>
      <name val="Times"/>
    </font>
    <font>
      <u/>
      <sz val="10.0"/>
      <color rgb="FF0000FF"/>
    </font>
    <font>
      <sz val="10.0"/>
      <color rgb="FF633806"/>
      <name val="Times"/>
    </font>
    <font>
      <u/>
      <sz val="10.0"/>
      <color rgb="FF0000FF"/>
    </font>
    <font>
      <sz val="11.0"/>
      <color theme="1"/>
      <name val="Times"/>
    </font>
    <font>
      <sz val="11.0"/>
      <color rgb="FF0C447C"/>
      <name val="Times"/>
    </font>
    <font>
      <u/>
      <sz val="11.0"/>
      <color rgb="FF0000FF"/>
      <name val="Times"/>
    </font>
    <font>
      <sz val="11.0"/>
      <color rgb="FF185FA5"/>
      <name val="Times"/>
    </font>
    <font>
      <sz val="11.0"/>
      <color rgb="FF444441"/>
      <name val="Times"/>
    </font>
    <font>
      <u/>
      <sz val="11.0"/>
      <color rgb="FF0000FF"/>
      <name val="Times"/>
    </font>
    <font>
      <u/>
      <sz val="10.0"/>
      <color rgb="FF0000FF"/>
    </font>
    <font>
      <sz val="11.0"/>
      <color rgb="FF085041"/>
      <name val="Times"/>
    </font>
    <font>
      <b/>
      <sz val="11.0"/>
      <color rgb="FFFFFFFF"/>
      <name val="Arial"/>
    </font>
    <font>
      <sz val="11.0"/>
      <color rgb="FF333333"/>
      <name val="Calibri"/>
    </font>
    <font>
      <b/>
      <sz val="11.0"/>
      <color rgb="FF000000"/>
      <name val="Arial"/>
    </font>
    <font>
      <b/>
      <sz val="10.0"/>
      <color rgb="FFFFFFFF"/>
      <name val="Arial"/>
    </font>
    <font>
      <b/>
      <sz val="11.0"/>
      <color rgb="FF002368"/>
      <name val="Arial"/>
    </font>
    <font>
      <b/>
      <sz val="11.0"/>
      <color theme="1"/>
      <name val="Arial"/>
    </font>
    <font>
      <b/>
      <sz val="11.0"/>
      <color rgb="FF1B5E20"/>
      <name val="Arial"/>
    </font>
    <font>
      <sz val="11.0"/>
      <color theme="1"/>
      <name val="Arial"/>
    </font>
    <font>
      <b/>
      <sz val="10.0"/>
      <color rgb="FF002368"/>
      <name val="Arial"/>
    </font>
    <font>
      <b/>
      <sz val="11.0"/>
      <color rgb="FF4A148C"/>
      <name val="Arial"/>
    </font>
    <font>
      <b/>
      <sz val="10.0"/>
      <color rgb="FF000000"/>
      <name val="Arial"/>
    </font>
    <font>
      <sz val="10.0"/>
      <color rgb="FF333333"/>
      <name val="Arial"/>
    </font>
    <font>
      <u/>
      <sz val="11.0"/>
      <color rgb="FF0000FF"/>
    </font>
    <font>
      <b/>
      <sz val="11.0"/>
      <color rgb="FF1A237E"/>
      <name val="Arial"/>
    </font>
    <font>
      <b/>
      <sz val="11.0"/>
      <color rgb="FFB71C1C"/>
      <name val="Arial"/>
    </font>
    <font>
      <b/>
      <sz val="11.0"/>
      <color rgb="FF004D40"/>
      <name val="Arial"/>
    </font>
    <font>
      <b/>
      <sz val="11.0"/>
      <color rgb="FF3C78D8"/>
      <name val="Arial"/>
    </font>
    <font>
      <b/>
      <sz val="11.0"/>
      <color rgb="FF01579B"/>
      <name val="Arial"/>
    </font>
    <font>
      <b/>
      <sz val="10.0"/>
      <color rgb="FF004D40"/>
      <name val="Arial"/>
    </font>
    <font>
      <b/>
      <sz val="11.0"/>
      <color rgb="FF33691E"/>
      <name val="Arial"/>
    </font>
    <font>
      <b/>
      <sz val="11.0"/>
      <color rgb="FFBF360C"/>
      <name val="Arial"/>
    </font>
    <font>
      <b/>
      <sz val="10.0"/>
      <color rgb="FF4A148C"/>
      <name val="Arial"/>
    </font>
    <font>
      <b/>
      <sz val="11.0"/>
      <color rgb="FF8091B3"/>
      <name val="Arial"/>
    </font>
    <font>
      <b/>
      <sz val="11.0"/>
      <color rgb="FFE65100"/>
      <name val="Arial"/>
    </font>
    <font>
      <b/>
      <sz val="10.0"/>
      <color rgb="FF8091B3"/>
      <name val="Arial"/>
    </font>
    <font>
      <b/>
      <sz val="11.0"/>
      <color rgb="FF4E342E"/>
      <name val="Arial"/>
    </font>
    <font>
      <b/>
      <sz val="10.0"/>
      <color rgb="FF006064"/>
      <name val="Arial"/>
    </font>
    <font>
      <b/>
      <sz val="11.0"/>
      <color rgb="FF006064"/>
      <name val="Arial"/>
    </font>
    <font>
      <b/>
      <sz val="10.0"/>
      <color rgb="FF1A237E"/>
      <name val="Arial"/>
    </font>
    <font>
      <b/>
      <sz val="11.0"/>
      <color rgb="FF880E4F"/>
      <name val="Arial"/>
    </font>
    <font>
      <b/>
      <sz val="10.0"/>
      <color rgb="FF01579B"/>
      <name val="Arial"/>
    </font>
    <font>
      <b/>
      <sz val="10.0"/>
      <color rgb="FF1B5E20"/>
      <name val="Arial"/>
    </font>
    <font>
      <b/>
      <sz val="10.0"/>
      <color rgb="FF33691E"/>
      <name val="Arial"/>
    </font>
    <font>
      <b/>
      <sz val="10.0"/>
      <color rgb="FFE65100"/>
      <name val="Arial"/>
    </font>
    <font>
      <b/>
      <sz val="10.0"/>
      <color rgb="FFBF360C"/>
      <name val="Arial"/>
    </font>
    <font>
      <b/>
      <sz val="10.0"/>
      <color rgb="FF4E342E"/>
      <name val="Arial"/>
    </font>
    <font>
      <b/>
      <sz val="10.0"/>
      <color rgb="FFB71C1C"/>
      <name val="Arial"/>
    </font>
    <font>
      <b/>
      <sz val="16.0"/>
      <color rgb="FF002368"/>
      <name val="Arial"/>
    </font>
    <font>
      <i/>
      <sz val="9.0"/>
      <color rgb="FF818283"/>
      <name val="Arial"/>
    </font>
    <font>
      <b/>
      <sz val="9.0"/>
      <color rgb="FF818283"/>
      <name val="Arial"/>
    </font>
    <font>
      <b/>
      <sz val="18.0"/>
      <color rgb="FF002368"/>
      <name val="Arial"/>
    </font>
    <font>
      <sz val="10.0"/>
      <color theme="1"/>
      <name val="Calibri"/>
    </font>
    <font>
      <color theme="1"/>
      <name val="Arial"/>
    </font>
    <font>
      <b/>
      <sz val="10.0"/>
      <color theme="1"/>
      <name val="Arial"/>
    </font>
    <font>
      <b/>
      <sz val="10.0"/>
      <color rgb="FF880E4F"/>
      <name val="Arial"/>
    </font>
    <font>
      <color theme="1"/>
      <name val="Var(--font-mono)"/>
    </font>
    <font>
      <i/>
      <sz val="10.0"/>
      <color rgb="FF8091B3"/>
      <name val="Arial"/>
    </font>
    <font>
      <sz val="11.0"/>
      <color rgb="FF141414"/>
      <name val="Calibri"/>
    </font>
    <font>
      <u/>
      <color rgb="FF0000FF"/>
    </font>
    <font>
      <b/>
      <color theme="1"/>
      <name val="Arial"/>
      <scheme val="minor"/>
    </font>
    <font>
      <b/>
      <color theme="1"/>
      <name val="Arial"/>
    </font>
    <font>
      <sz val="9.0"/>
      <color theme="1"/>
      <name val="Arial"/>
    </font>
  </fonts>
  <fills count="46">
    <fill>
      <patternFill patternType="none"/>
    </fill>
    <fill>
      <patternFill patternType="lightGray"/>
    </fill>
    <fill>
      <patternFill patternType="solid">
        <fgColor rgb="FFFFF2CC"/>
        <bgColor rgb="FFFFF2CC"/>
      </patternFill>
    </fill>
    <fill>
      <patternFill patternType="solid">
        <fgColor rgb="FF444441"/>
        <bgColor rgb="FF444441"/>
      </patternFill>
    </fill>
    <fill>
      <patternFill patternType="solid">
        <fgColor rgb="FF1D4E8F"/>
        <bgColor rgb="FF1D4E8F"/>
      </patternFill>
    </fill>
    <fill>
      <patternFill patternType="solid">
        <fgColor rgb="FFB6D7A8"/>
        <bgColor rgb="FFB6D7A8"/>
      </patternFill>
    </fill>
    <fill>
      <patternFill patternType="solid">
        <fgColor rgb="FFFFFF00"/>
        <bgColor rgb="FFFFFF00"/>
      </patternFill>
    </fill>
    <fill>
      <patternFill patternType="solid">
        <fgColor rgb="FF00FF00"/>
        <bgColor rgb="FF00FF00"/>
      </patternFill>
    </fill>
    <fill>
      <patternFill patternType="solid">
        <fgColor rgb="FF0C447C"/>
        <bgColor rgb="FF0C447C"/>
      </patternFill>
    </fill>
    <fill>
      <patternFill patternType="solid">
        <fgColor rgb="FFF4CCCC"/>
        <bgColor rgb="FFF4CCCC"/>
      </patternFill>
    </fill>
    <fill>
      <patternFill patternType="solid">
        <fgColor rgb="FFFFFFFF"/>
        <bgColor rgb="FFFFFFFF"/>
      </patternFill>
    </fill>
    <fill>
      <patternFill patternType="solid">
        <fgColor rgb="FF6D9EEB"/>
        <bgColor rgb="FF6D9EEB"/>
      </patternFill>
    </fill>
    <fill>
      <patternFill patternType="solid">
        <fgColor rgb="FFCC4125"/>
        <bgColor rgb="FFCC4125"/>
      </patternFill>
    </fill>
    <fill>
      <patternFill patternType="solid">
        <fgColor rgb="FF00FFFF"/>
        <bgColor rgb="FF00FFFF"/>
      </patternFill>
    </fill>
    <fill>
      <patternFill patternType="solid">
        <fgColor rgb="FFF3F3F3"/>
        <bgColor rgb="FFF3F3F3"/>
      </patternFill>
    </fill>
    <fill>
      <patternFill patternType="solid">
        <fgColor rgb="FF002368"/>
        <bgColor rgb="FF002368"/>
      </patternFill>
    </fill>
    <fill>
      <patternFill patternType="solid">
        <fgColor rgb="FFFAFAFA"/>
        <bgColor rgb="FFFAFAFA"/>
      </patternFill>
    </fill>
    <fill>
      <patternFill patternType="solid">
        <fgColor rgb="FFE8EDF5"/>
        <bgColor rgb="FFE8EDF5"/>
      </patternFill>
    </fill>
    <fill>
      <patternFill patternType="solid">
        <fgColor rgb="FFFFC952"/>
        <bgColor rgb="FFFFC952"/>
      </patternFill>
    </fill>
    <fill>
      <patternFill patternType="solid">
        <fgColor rgb="FFE8EAF6"/>
        <bgColor rgb="FFE8EAF6"/>
      </patternFill>
    </fill>
    <fill>
      <patternFill patternType="solid">
        <fgColor rgb="FFE0F2F1"/>
        <bgColor rgb="FFE0F2F1"/>
      </patternFill>
    </fill>
    <fill>
      <patternFill patternType="solid">
        <fgColor rgb="FF004D40"/>
        <bgColor rgb="FF004D40"/>
      </patternFill>
    </fill>
    <fill>
      <patternFill patternType="solid">
        <fgColor rgb="FFE1F5FE"/>
        <bgColor rgb="FFE1F5FE"/>
      </patternFill>
    </fill>
    <fill>
      <patternFill patternType="solid">
        <fgColor rgb="FFE8F5E9"/>
        <bgColor rgb="FFE8F5E9"/>
      </patternFill>
    </fill>
    <fill>
      <patternFill patternType="solid">
        <fgColor rgb="FF4A148C"/>
        <bgColor rgb="FF4A148C"/>
      </patternFill>
    </fill>
    <fill>
      <patternFill patternType="solid">
        <fgColor rgb="FFFBE9E7"/>
        <bgColor rgb="FFFBE9E7"/>
      </patternFill>
    </fill>
    <fill>
      <patternFill patternType="solid">
        <fgColor rgb="FFF3E5F5"/>
        <bgColor rgb="FFF3E5F5"/>
      </patternFill>
    </fill>
    <fill>
      <patternFill patternType="solid">
        <fgColor rgb="FFFFF3E0"/>
        <bgColor rgb="FFFFF3E0"/>
      </patternFill>
    </fill>
    <fill>
      <patternFill patternType="solid">
        <fgColor rgb="FF8091B3"/>
        <bgColor rgb="FF8091B3"/>
      </patternFill>
    </fill>
    <fill>
      <patternFill patternType="solid">
        <fgColor rgb="FFEFEBE9"/>
        <bgColor rgb="FFEFEBE9"/>
      </patternFill>
    </fill>
    <fill>
      <patternFill patternType="solid">
        <fgColor rgb="FF006064"/>
        <bgColor rgb="FF006064"/>
      </patternFill>
    </fill>
    <fill>
      <patternFill patternType="solid">
        <fgColor rgb="FFE0F7FA"/>
        <bgColor rgb="FFE0F7FA"/>
      </patternFill>
    </fill>
    <fill>
      <patternFill patternType="solid">
        <fgColor rgb="FF1A237E"/>
        <bgColor rgb="FF1A237E"/>
      </patternFill>
    </fill>
    <fill>
      <patternFill patternType="solid">
        <fgColor rgb="FF93C47D"/>
        <bgColor rgb="FF93C47D"/>
      </patternFill>
    </fill>
    <fill>
      <patternFill patternType="solid">
        <fgColor rgb="FFFCE4EC"/>
        <bgColor rgb="FFFCE4EC"/>
      </patternFill>
    </fill>
    <fill>
      <patternFill patternType="solid">
        <fgColor rgb="FF01579B"/>
        <bgColor rgb="FF01579B"/>
      </patternFill>
    </fill>
    <fill>
      <patternFill patternType="solid">
        <fgColor rgb="FFFFF3CC"/>
        <bgColor rgb="FFFFF3CC"/>
      </patternFill>
    </fill>
    <fill>
      <patternFill patternType="solid">
        <fgColor rgb="FF1B5E20"/>
        <bgColor rgb="FF1B5E20"/>
      </patternFill>
    </fill>
    <fill>
      <patternFill patternType="solid">
        <fgColor rgb="FF33691E"/>
        <bgColor rgb="FF33691E"/>
      </patternFill>
    </fill>
    <fill>
      <patternFill patternType="solid">
        <fgColor rgb="FFF9FBE7"/>
        <bgColor rgb="FFF9FBE7"/>
      </patternFill>
    </fill>
    <fill>
      <patternFill patternType="solid">
        <fgColor rgb="FFE65100"/>
        <bgColor rgb="FFE65100"/>
      </patternFill>
    </fill>
    <fill>
      <patternFill patternType="solid">
        <fgColor rgb="FFBF360C"/>
        <bgColor rgb="FFBF360C"/>
      </patternFill>
    </fill>
    <fill>
      <patternFill patternType="solid">
        <fgColor rgb="FF4E342E"/>
        <bgColor rgb="FF4E342E"/>
      </patternFill>
    </fill>
    <fill>
      <patternFill patternType="solid">
        <fgColor rgb="FFB71C1C"/>
        <bgColor rgb="FFB71C1C"/>
      </patternFill>
    </fill>
    <fill>
      <patternFill patternType="solid">
        <fgColor rgb="FFD9ECF9"/>
        <bgColor rgb="FFD9ECF9"/>
      </patternFill>
    </fill>
    <fill>
      <patternFill patternType="solid">
        <fgColor rgb="FF880E4F"/>
        <bgColor rgb="FF880E4F"/>
      </patternFill>
    </fill>
  </fills>
  <borders count="2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top/>
    </border>
    <border>
      <top/>
    </border>
    <border>
      <right/>
      <top/>
    </border>
    <border>
      <left/>
      <bottom/>
    </border>
    <border>
      <bottom/>
    </border>
    <border>
      <right/>
      <bottom/>
    </border>
    <border>
      <left style="thin">
        <color rgb="FFCCCCCC"/>
      </left>
      <right style="thin">
        <color rgb="FFCCCCCC"/>
      </right>
      <top style="thin">
        <color rgb="FFCCCCCC"/>
      </top>
      <bottom style="thin">
        <color rgb="FFCCCCCC"/>
      </bottom>
    </border>
    <border>
      <right style="thin">
        <color rgb="FF000000"/>
      </right>
    </border>
    <border>
      <left/>
    </border>
    <border>
      <right/>
    </border>
    <border>
      <left/>
      <top/>
      <bottom/>
    </border>
    <border>
      <top/>
      <bottom/>
    </border>
    <border>
      <right/>
      <top/>
      <bottom/>
    </border>
    <border>
      <left style="thin">
        <color rgb="FFCCCCCC"/>
      </left>
      <right style="thin">
        <color rgb="FF000000"/>
      </right>
      <top style="thin">
        <color rgb="FFCCCCCC"/>
      </top>
      <bottom style="thin">
        <color rgb="FFCCCCCC"/>
      </bottom>
    </border>
    <border>
      <right style="thin">
        <color rgb="FFCCCCCC"/>
      </right>
      <top style="thin">
        <color rgb="FFCCCCCC"/>
      </top>
      <bottom style="thin">
        <color rgb="FFCCCCCC"/>
      </bottom>
    </border>
    <border>
      <left style="medium">
        <color rgb="FF002368"/>
      </left>
      <top style="medium">
        <color rgb="FF002368"/>
      </top>
      <bottom style="medium">
        <color rgb="FF002368"/>
      </bottom>
    </border>
    <border>
      <top style="medium">
        <color rgb="FF002368"/>
      </top>
      <bottom style="medium">
        <color rgb="FF002368"/>
      </bottom>
    </border>
    <border>
      <right/>
      <top style="medium">
        <color rgb="FF002368"/>
      </top>
      <bottom style="medium">
        <color rgb="FF002368"/>
      </bottom>
    </border>
    <border>
      <left/>
      <right/>
      <top/>
      <bottom/>
    </border>
    <border>
      <bottom style="thin">
        <color rgb="FF8091B3"/>
      </bottom>
    </border>
  </borders>
  <cellStyleXfs count="1">
    <xf borderId="0" fillId="0" fontId="0" numFmtId="0" applyAlignment="1" applyFont="1"/>
  </cellStyleXfs>
  <cellXfs count="442">
    <xf borderId="0" fillId="0" fontId="0" numFmtId="0" xfId="0" applyAlignment="1" applyFont="1">
      <alignment readingOrder="0" shrinkToFit="0" vertical="bottom" wrapText="0"/>
    </xf>
    <xf borderId="0" fillId="2" fontId="1" numFmtId="0" xfId="0" applyAlignment="1" applyFill="1" applyFont="1">
      <alignment readingOrder="0" shrinkToFit="0" wrapText="1"/>
    </xf>
    <xf borderId="1" fillId="3" fontId="2" numFmtId="0" xfId="0" applyAlignment="1" applyBorder="1" applyFill="1" applyFont="1">
      <alignment horizontal="center" readingOrder="0" shrinkToFit="0" vertical="center" wrapText="1"/>
    </xf>
    <xf borderId="0" fillId="2" fontId="3" numFmtId="0" xfId="0" applyAlignment="1" applyFont="1">
      <alignment readingOrder="0" shrinkToFit="0" wrapText="1"/>
    </xf>
    <xf borderId="1" fillId="3" fontId="2" numFmtId="0" xfId="0" applyAlignment="1" applyBorder="1" applyFont="1">
      <alignment horizontal="left" readingOrder="0" shrinkToFit="0" vertical="center" wrapText="1"/>
    </xf>
    <xf borderId="1" fillId="3" fontId="4" numFmtId="0" xfId="0" applyAlignment="1" applyBorder="1" applyFont="1">
      <alignment horizontal="left" readingOrder="0" shrinkToFit="0" wrapText="1"/>
    </xf>
    <xf borderId="0" fillId="0" fontId="5" numFmtId="0" xfId="0" applyAlignment="1" applyFont="1">
      <alignment shrinkToFit="0" wrapText="1"/>
    </xf>
    <xf borderId="0" fillId="4" fontId="1" numFmtId="0" xfId="0" applyAlignment="1" applyFill="1" applyFont="1">
      <alignment readingOrder="0" shrinkToFit="0" wrapText="1"/>
    </xf>
    <xf borderId="1" fillId="3" fontId="4" numFmtId="0" xfId="0" applyAlignment="1" applyBorder="1" applyFont="1">
      <alignment horizontal="center" readingOrder="0" shrinkToFit="0" wrapText="1"/>
    </xf>
    <xf borderId="1" fillId="0" fontId="6" numFmtId="0" xfId="0" applyAlignment="1" applyBorder="1" applyFont="1">
      <alignment horizontal="center" readingOrder="0" shrinkToFit="0" vertical="center" wrapText="1"/>
    </xf>
    <xf borderId="0" fillId="5" fontId="7" numFmtId="0" xfId="0" applyAlignment="1" applyFill="1" applyFont="1">
      <alignment readingOrder="0" shrinkToFit="0" vertical="center" wrapText="1"/>
    </xf>
    <xf borderId="0" fillId="6" fontId="8" numFmtId="0" xfId="0" applyAlignment="1" applyFill="1" applyFont="1">
      <alignment readingOrder="0" shrinkToFit="0" vertical="center" wrapText="1"/>
    </xf>
    <xf borderId="1" fillId="6" fontId="8" numFmtId="0" xfId="0" applyAlignment="1" applyBorder="1" applyFont="1">
      <alignment readingOrder="0" shrinkToFit="0" vertical="top" wrapText="1"/>
    </xf>
    <xf borderId="1" fillId="5" fontId="7" numFmtId="0" xfId="0" applyAlignment="1" applyBorder="1" applyFont="1">
      <alignment readingOrder="0" shrinkToFit="0" vertical="center" wrapText="1"/>
    </xf>
    <xf borderId="1" fillId="6" fontId="8" numFmtId="0" xfId="0" applyAlignment="1" applyBorder="1" applyFont="1">
      <alignment readingOrder="0" shrinkToFit="0" vertical="center" wrapText="1"/>
    </xf>
    <xf borderId="1" fillId="7" fontId="8" numFmtId="0" xfId="0" applyAlignment="1" applyBorder="1" applyFill="1" applyFont="1">
      <alignment readingOrder="0" shrinkToFit="0" vertical="top" wrapText="1"/>
    </xf>
    <xf borderId="0" fillId="0" fontId="9" numFmtId="0" xfId="0" applyAlignment="1" applyFont="1">
      <alignment readingOrder="0" shrinkToFit="0" vertical="center" wrapText="1"/>
    </xf>
    <xf borderId="1" fillId="6" fontId="8" numFmtId="0" xfId="0" applyAlignment="1" applyBorder="1" applyFont="1">
      <alignment horizontal="center" readingOrder="0" shrinkToFit="0" vertical="center" wrapText="1"/>
    </xf>
    <xf borderId="0" fillId="8" fontId="10" numFmtId="0" xfId="0" applyAlignment="1" applyFill="1" applyFont="1">
      <alignment readingOrder="0" shrinkToFit="0" wrapText="1"/>
    </xf>
    <xf borderId="1" fillId="6" fontId="11" numFmtId="0" xfId="0" applyAlignment="1" applyBorder="1" applyFont="1">
      <alignment shrinkToFit="0" vertical="center" wrapText="1"/>
    </xf>
    <xf borderId="1" fillId="0" fontId="6" numFmtId="0" xfId="0" applyAlignment="1" applyBorder="1" applyFont="1">
      <alignment readingOrder="0" shrinkToFit="0" vertical="center" wrapText="1"/>
    </xf>
    <xf borderId="0" fillId="0" fontId="8" numFmtId="0" xfId="0" applyAlignment="1" applyFont="1">
      <alignment readingOrder="0" shrinkToFit="0" vertical="center" wrapText="1"/>
    </xf>
    <xf borderId="1" fillId="6" fontId="11" numFmtId="0" xfId="0" applyAlignment="1" applyBorder="1" applyFont="1">
      <alignment horizontal="left" shrinkToFit="0" wrapText="1"/>
    </xf>
    <xf borderId="0" fillId="0" fontId="12" numFmtId="0" xfId="0" applyAlignment="1" applyFont="1">
      <alignment readingOrder="0" shrinkToFit="0" wrapText="1"/>
    </xf>
    <xf borderId="1" fillId="0" fontId="13" numFmtId="0" xfId="0" applyAlignment="1" applyBorder="1" applyFont="1">
      <alignment horizontal="left" shrinkToFit="0" vertical="center" wrapText="1"/>
    </xf>
    <xf borderId="1" fillId="5" fontId="8" numFmtId="0" xfId="0" applyAlignment="1" applyBorder="1" applyFont="1">
      <alignment readingOrder="0" shrinkToFit="0" vertical="top" wrapText="1"/>
    </xf>
    <xf borderId="0" fillId="5" fontId="8" numFmtId="0" xfId="0" applyAlignment="1" applyFont="1">
      <alignment readingOrder="0" shrinkToFit="0" vertical="center" wrapText="1"/>
    </xf>
    <xf borderId="1" fillId="5" fontId="8" numFmtId="0" xfId="0" applyAlignment="1" applyBorder="1" applyFont="1">
      <alignment readingOrder="0" shrinkToFit="0" vertical="center" wrapText="1"/>
    </xf>
    <xf borderId="1" fillId="0" fontId="9" numFmtId="0" xfId="0" applyAlignment="1" applyBorder="1" applyFont="1">
      <alignment readingOrder="0" shrinkToFit="0" vertical="center" wrapText="1"/>
    </xf>
    <xf borderId="0" fillId="8" fontId="14" numFmtId="0" xfId="0" applyAlignment="1" applyFont="1">
      <alignment horizontal="center" readingOrder="0" shrinkToFit="0" wrapText="1"/>
    </xf>
    <xf borderId="1" fillId="8" fontId="14" numFmtId="0" xfId="0" applyAlignment="1" applyBorder="1" applyFont="1">
      <alignment horizontal="center" readingOrder="0" shrinkToFit="0" wrapText="1"/>
    </xf>
    <xf borderId="1" fillId="5" fontId="6" numFmtId="0" xfId="0" applyAlignment="1" applyBorder="1" applyFont="1">
      <alignment readingOrder="0" shrinkToFit="0" vertical="center" wrapText="1"/>
    </xf>
    <xf borderId="2" fillId="8" fontId="14" numFmtId="0" xfId="0" applyAlignment="1" applyBorder="1" applyFont="1">
      <alignment horizontal="center" readingOrder="0" shrinkToFit="0" wrapText="1"/>
    </xf>
    <xf borderId="3" fillId="0" fontId="15" numFmtId="0" xfId="0" applyBorder="1" applyFont="1"/>
    <xf borderId="4" fillId="0" fontId="15" numFmtId="0" xfId="0" applyBorder="1" applyFont="1"/>
    <xf borderId="1" fillId="0" fontId="13" numFmtId="0" xfId="0" applyAlignment="1" applyBorder="1" applyFont="1">
      <alignment readingOrder="0" shrinkToFit="0" vertical="center" wrapText="1"/>
    </xf>
    <xf borderId="0" fillId="0" fontId="9" numFmtId="0" xfId="0" applyAlignment="1" applyFont="1">
      <alignment readingOrder="0"/>
    </xf>
    <xf borderId="1" fillId="0" fontId="13" numFmtId="0" xfId="0" applyAlignment="1" applyBorder="1" applyFont="1">
      <alignment shrinkToFit="0" vertical="center" wrapText="1"/>
    </xf>
    <xf borderId="0" fillId="0" fontId="9" numFmtId="0" xfId="0" applyAlignment="1" applyFont="1">
      <alignment readingOrder="0" shrinkToFit="0" wrapText="1"/>
    </xf>
    <xf borderId="0" fillId="5" fontId="13" numFmtId="0" xfId="0" applyAlignment="1" applyFont="1">
      <alignment readingOrder="0" shrinkToFit="0" vertical="center" wrapText="1"/>
    </xf>
    <xf borderId="1" fillId="5" fontId="13" numFmtId="0" xfId="0" applyAlignment="1" applyBorder="1" applyFont="1">
      <alignment readingOrder="0" shrinkToFit="0" vertical="center" wrapText="1"/>
    </xf>
    <xf borderId="1" fillId="0" fontId="9" numFmtId="0" xfId="0" applyAlignment="1" applyBorder="1" applyFont="1">
      <alignment readingOrder="0" shrinkToFit="0" vertical="top" wrapText="1"/>
    </xf>
    <xf borderId="1" fillId="5" fontId="16" numFmtId="0" xfId="0" applyAlignment="1" applyBorder="1" applyFont="1">
      <alignment horizontal="left" readingOrder="0" shrinkToFit="0" vertical="top" wrapText="1"/>
    </xf>
    <xf borderId="1" fillId="0" fontId="6" numFmtId="0" xfId="0" applyAlignment="1" applyBorder="1" applyFont="1">
      <alignment shrinkToFit="0" vertical="center" wrapText="1"/>
    </xf>
    <xf borderId="1" fillId="5" fontId="17" numFmtId="0" xfId="0" applyAlignment="1" applyBorder="1" applyFont="1">
      <alignment readingOrder="0" shrinkToFit="0" vertical="top" wrapText="1"/>
    </xf>
    <xf borderId="1" fillId="0" fontId="18" numFmtId="0" xfId="0" applyAlignment="1" applyBorder="1" applyFont="1">
      <alignment readingOrder="0" shrinkToFit="0" wrapText="1"/>
    </xf>
    <xf borderId="1" fillId="5" fontId="8" numFmtId="0" xfId="0" applyAlignment="1" applyBorder="1" applyFont="1">
      <alignment horizontal="center" readingOrder="0" shrinkToFit="0" vertical="center" wrapText="1"/>
    </xf>
    <xf borderId="1" fillId="0" fontId="6" numFmtId="0" xfId="0" applyAlignment="1" applyBorder="1" applyFont="1">
      <alignment horizontal="center" shrinkToFit="0" vertical="center" wrapText="1"/>
    </xf>
    <xf borderId="1" fillId="5" fontId="11" numFmtId="0" xfId="0" applyAlignment="1" applyBorder="1" applyFont="1">
      <alignment horizontal="left" readingOrder="0" shrinkToFit="0" wrapText="1"/>
    </xf>
    <xf borderId="0" fillId="0" fontId="6" numFmtId="0" xfId="0" applyAlignment="1" applyFont="1">
      <alignment readingOrder="0" shrinkToFit="0" vertical="center" wrapText="1"/>
    </xf>
    <xf borderId="1" fillId="5" fontId="11" numFmtId="0" xfId="0" applyAlignment="1" applyBorder="1" applyFont="1">
      <alignment shrinkToFit="0" vertical="center" wrapText="1"/>
    </xf>
    <xf borderId="1" fillId="0" fontId="9" numFmtId="0" xfId="0" applyAlignment="1" applyBorder="1" applyFont="1">
      <alignment readingOrder="0" shrinkToFit="0" wrapText="1"/>
    </xf>
    <xf borderId="1" fillId="0" fontId="9" numFmtId="0" xfId="0" applyAlignment="1" applyBorder="1" applyFont="1">
      <alignment horizontal="center" readingOrder="0" shrinkToFit="0" wrapText="1"/>
    </xf>
    <xf borderId="1" fillId="6" fontId="11" numFmtId="0" xfId="0" applyAlignment="1" applyBorder="1" applyFont="1">
      <alignment horizontal="left" readingOrder="0" shrinkToFit="0" wrapText="1"/>
    </xf>
    <xf borderId="0" fillId="0" fontId="9" numFmtId="0" xfId="0" applyAlignment="1" applyFont="1">
      <alignment readingOrder="0" shrinkToFit="0" vertical="top" wrapText="1"/>
    </xf>
    <xf borderId="2" fillId="0" fontId="9" numFmtId="0" xfId="0" applyAlignment="1" applyBorder="1" applyFont="1">
      <alignment readingOrder="0" shrinkToFit="0" wrapText="1"/>
    </xf>
    <xf borderId="0" fillId="9" fontId="6" numFmtId="0" xfId="0" applyAlignment="1" applyFill="1" applyFont="1">
      <alignment readingOrder="0" shrinkToFit="0" vertical="center" wrapText="1"/>
    </xf>
    <xf borderId="1" fillId="9" fontId="6" numFmtId="0" xfId="0" applyAlignment="1" applyBorder="1" applyFont="1">
      <alignment readingOrder="0" shrinkToFit="0" vertical="center" wrapText="1"/>
    </xf>
    <xf borderId="1" fillId="10" fontId="8" numFmtId="0" xfId="0" applyAlignment="1" applyBorder="1" applyFill="1" applyFont="1">
      <alignment readingOrder="0" shrinkToFit="0" vertical="top" wrapText="1"/>
    </xf>
    <xf borderId="0" fillId="11" fontId="8" numFmtId="0" xfId="0" applyAlignment="1" applyFill="1" applyFont="1">
      <alignment readingOrder="0" shrinkToFit="0" vertical="center" wrapText="1"/>
    </xf>
    <xf borderId="1" fillId="0" fontId="6" numFmtId="0" xfId="0" applyAlignment="1" applyBorder="1" applyFont="1">
      <alignment readingOrder="0" shrinkToFit="0" vertical="top" wrapText="1"/>
    </xf>
    <xf borderId="1" fillId="11" fontId="8" numFmtId="0" xfId="0" applyAlignment="1" applyBorder="1" applyFont="1">
      <alignment readingOrder="0" shrinkToFit="0" vertical="center" wrapText="1"/>
    </xf>
    <xf borderId="1" fillId="0" fontId="13" numFmtId="0" xfId="0" applyAlignment="1" applyBorder="1" applyFont="1">
      <alignment shrinkToFit="0" wrapText="1"/>
    </xf>
    <xf borderId="1" fillId="11" fontId="8" numFmtId="0" xfId="0" applyAlignment="1" applyBorder="1" applyFont="1">
      <alignment horizontal="center" readingOrder="0" shrinkToFit="0" vertical="center" wrapText="1"/>
    </xf>
    <xf borderId="1" fillId="0" fontId="8" numFmtId="0" xfId="0" applyAlignment="1" applyBorder="1" applyFont="1">
      <alignment readingOrder="0" shrinkToFit="0" vertical="top" wrapText="1"/>
    </xf>
    <xf borderId="1" fillId="0" fontId="13" numFmtId="0" xfId="0" applyAlignment="1" applyBorder="1" applyFont="1">
      <alignment horizontal="left" shrinkToFit="0" wrapText="1"/>
    </xf>
    <xf borderId="1" fillId="11" fontId="11" numFmtId="0" xfId="0" applyAlignment="1" applyBorder="1" applyFont="1">
      <alignment shrinkToFit="0" vertical="center" wrapText="1"/>
    </xf>
    <xf borderId="0" fillId="0" fontId="6" numFmtId="0" xfId="0" applyAlignment="1" applyFont="1">
      <alignment horizontal="center" readingOrder="0" shrinkToFit="0" vertical="center" wrapText="1"/>
    </xf>
    <xf borderId="1" fillId="0" fontId="8" numFmtId="0" xfId="0" applyAlignment="1" applyBorder="1" applyFont="1">
      <alignment horizontal="center" readingOrder="0" shrinkToFit="0" vertical="center" wrapText="1"/>
    </xf>
    <xf borderId="0" fillId="0" fontId="6" numFmtId="0" xfId="0" applyAlignment="1" applyFont="1">
      <alignment readingOrder="0" shrinkToFit="0" vertical="top" wrapText="1"/>
    </xf>
    <xf borderId="1" fillId="0" fontId="11" numFmtId="0" xfId="0" applyAlignment="1" applyBorder="1" applyFont="1">
      <alignment horizontal="left" shrinkToFit="0" wrapText="1"/>
    </xf>
    <xf borderId="0" fillId="0" fontId="13" numFmtId="0" xfId="0" applyAlignment="1" applyFont="1">
      <alignment readingOrder="0" shrinkToFit="0" vertical="center" wrapText="1"/>
    </xf>
    <xf borderId="0" fillId="0" fontId="13" numFmtId="0" xfId="0" applyAlignment="1" applyFont="1">
      <alignment shrinkToFit="0" wrapText="1"/>
    </xf>
    <xf borderId="1" fillId="12" fontId="8" numFmtId="0" xfId="0" applyAlignment="1" applyBorder="1" applyFill="1" applyFont="1">
      <alignment readingOrder="0" shrinkToFit="0" vertical="top" wrapText="1"/>
    </xf>
    <xf borderId="0" fillId="0" fontId="13" numFmtId="0" xfId="0" applyAlignment="1" applyFont="1">
      <alignment horizontal="left" shrinkToFit="0" wrapText="1"/>
    </xf>
    <xf borderId="0" fillId="0" fontId="11" numFmtId="0" xfId="0" applyAlignment="1" applyFont="1">
      <alignment vertical="center"/>
    </xf>
    <xf borderId="0" fillId="0" fontId="19" numFmtId="0" xfId="0" applyAlignment="1" applyFont="1">
      <alignment readingOrder="0"/>
    </xf>
    <xf borderId="1" fillId="0" fontId="11" numFmtId="0" xfId="0" applyAlignment="1" applyBorder="1" applyFont="1">
      <alignment shrinkToFit="0" vertical="center" wrapText="1"/>
    </xf>
    <xf borderId="1" fillId="12" fontId="8" numFmtId="0" xfId="0" applyAlignment="1" applyBorder="1" applyFont="1">
      <alignment horizontal="center" readingOrder="0" shrinkToFit="0" vertical="center" wrapText="1"/>
    </xf>
    <xf borderId="1" fillId="12" fontId="11" numFmtId="0" xfId="0" applyAlignment="1" applyBorder="1" applyFont="1">
      <alignment horizontal="left" shrinkToFit="0" wrapText="1"/>
    </xf>
    <xf borderId="1" fillId="0" fontId="20" numFmtId="0" xfId="0" applyAlignment="1" applyBorder="1" applyFont="1">
      <alignment horizontal="center" shrinkToFit="0" vertical="center" wrapText="1"/>
    </xf>
    <xf borderId="1" fillId="6" fontId="11" numFmtId="0" xfId="0" applyAlignment="1" applyBorder="1" applyFont="1">
      <alignment readingOrder="0"/>
    </xf>
    <xf borderId="1" fillId="7" fontId="11" numFmtId="0" xfId="0" applyAlignment="1" applyBorder="1" applyFont="1">
      <alignment readingOrder="0" shrinkToFit="0" wrapText="1"/>
    </xf>
    <xf borderId="1" fillId="7" fontId="20" numFmtId="0" xfId="0" applyAlignment="1" applyBorder="1" applyFont="1">
      <alignment readingOrder="0" shrinkToFit="0" wrapText="1"/>
    </xf>
    <xf borderId="1" fillId="6" fontId="11" numFmtId="0" xfId="0" applyAlignment="1" applyBorder="1" applyFont="1">
      <alignment shrinkToFit="0" wrapText="1"/>
    </xf>
    <xf borderId="1" fillId="5" fontId="8" numFmtId="0" xfId="0" applyAlignment="1" applyBorder="1" applyFont="1">
      <alignment readingOrder="0" shrinkToFit="0" vertical="bottom" wrapText="1"/>
    </xf>
    <xf borderId="1" fillId="5" fontId="11" numFmtId="0" xfId="0" applyAlignment="1" applyBorder="1" applyFont="1">
      <alignment readingOrder="0" vertical="bottom"/>
    </xf>
    <xf borderId="1" fillId="5" fontId="11" numFmtId="0" xfId="0" applyAlignment="1" applyBorder="1" applyFont="1">
      <alignment readingOrder="0" shrinkToFit="0" vertical="bottom" wrapText="1"/>
    </xf>
    <xf borderId="1" fillId="5" fontId="21" numFmtId="0" xfId="0" applyAlignment="1" applyBorder="1" applyFont="1">
      <alignment horizontal="center" readingOrder="0" shrinkToFit="0" vertical="bottom" wrapText="1"/>
    </xf>
    <xf borderId="1" fillId="5" fontId="20" numFmtId="0" xfId="0" applyAlignment="1" applyBorder="1" applyFont="1">
      <alignment horizontal="center" readingOrder="0" vertical="bottom"/>
    </xf>
    <xf borderId="1" fillId="5" fontId="11" numFmtId="0" xfId="0" applyAlignment="1" applyBorder="1" applyFont="1">
      <alignment horizontal="left" shrinkToFit="0" vertical="bottom" wrapText="1"/>
    </xf>
    <xf borderId="1" fillId="0" fontId="11" numFmtId="0" xfId="0" applyBorder="1" applyFont="1"/>
    <xf borderId="1" fillId="0" fontId="20" numFmtId="0" xfId="0" applyAlignment="1" applyBorder="1" applyFont="1">
      <alignment horizontal="center"/>
    </xf>
    <xf borderId="1" fillId="5" fontId="22" numFmtId="0" xfId="0" applyAlignment="1" applyBorder="1" applyFont="1">
      <alignment readingOrder="0" shrinkToFit="0" vertical="top" wrapText="1"/>
    </xf>
    <xf borderId="1" fillId="5" fontId="23" numFmtId="0" xfId="0" applyAlignment="1" applyBorder="1" applyFont="1">
      <alignment horizontal="center" readingOrder="0" shrinkToFit="0" vertical="top" wrapText="1"/>
    </xf>
    <xf borderId="0" fillId="4" fontId="1" numFmtId="0" xfId="0" applyAlignment="1" applyFont="1">
      <alignment horizontal="left" readingOrder="0" shrinkToFit="0" wrapText="1"/>
    </xf>
    <xf borderId="1" fillId="4" fontId="1" numFmtId="0" xfId="0" applyAlignment="1" applyBorder="1" applyFont="1">
      <alignment horizontal="left" readingOrder="0" shrinkToFit="0" wrapText="1"/>
    </xf>
    <xf borderId="2" fillId="4" fontId="1" numFmtId="0" xfId="0" applyAlignment="1" applyBorder="1" applyFont="1">
      <alignment horizontal="left" readingOrder="0" shrinkToFit="0" wrapText="1"/>
    </xf>
    <xf borderId="1" fillId="5" fontId="22" numFmtId="0" xfId="0" applyAlignment="1" applyBorder="1" applyFont="1">
      <alignment horizontal="center" readingOrder="0" shrinkToFit="0" vertical="top" wrapText="1"/>
    </xf>
    <xf borderId="0" fillId="0" fontId="5" numFmtId="0" xfId="0" applyAlignment="1" applyFont="1">
      <alignment readingOrder="0" shrinkToFit="0" vertical="top" wrapText="1"/>
    </xf>
    <xf borderId="1" fillId="0" fontId="5" numFmtId="0" xfId="0" applyAlignment="1" applyBorder="1" applyFont="1">
      <alignment readingOrder="0" shrinkToFit="0" vertical="top" wrapText="1"/>
    </xf>
    <xf borderId="1" fillId="5" fontId="24" numFmtId="0" xfId="0" applyAlignment="1" applyBorder="1" applyFont="1">
      <alignment readingOrder="0" shrinkToFit="0" wrapText="1"/>
    </xf>
    <xf borderId="2" fillId="0" fontId="5" numFmtId="0" xfId="0" applyAlignment="1" applyBorder="1" applyFont="1">
      <alignment readingOrder="0" shrinkToFit="0" vertical="top" wrapText="1"/>
    </xf>
    <xf borderId="1" fillId="5" fontId="25" numFmtId="0" xfId="0" applyAlignment="1" applyBorder="1" applyFont="1">
      <alignment readingOrder="0" shrinkToFit="0" vertical="top" wrapText="1"/>
    </xf>
    <xf borderId="1" fillId="5" fontId="26" numFmtId="0" xfId="0" applyAlignment="1" applyBorder="1" applyFont="1">
      <alignment readingOrder="0" shrinkToFit="0" wrapText="1"/>
    </xf>
    <xf borderId="1" fillId="5" fontId="26" numFmtId="0" xfId="0" applyAlignment="1" applyBorder="1" applyFont="1">
      <alignment shrinkToFit="0" wrapText="1"/>
    </xf>
    <xf borderId="1" fillId="5" fontId="27" numFmtId="0" xfId="0" applyAlignment="1" applyBorder="1" applyFont="1">
      <alignment readingOrder="0" shrinkToFit="0" vertical="top" wrapText="1"/>
    </xf>
    <xf borderId="1" fillId="0" fontId="22" numFmtId="0" xfId="0" applyAlignment="1" applyBorder="1" applyFont="1">
      <alignment readingOrder="0" shrinkToFit="0" vertical="top" wrapText="1"/>
    </xf>
    <xf borderId="1" fillId="0" fontId="25" numFmtId="0" xfId="0" applyAlignment="1" applyBorder="1" applyFont="1">
      <alignment readingOrder="0" shrinkToFit="0" vertical="top" wrapText="1"/>
    </xf>
    <xf borderId="1" fillId="0" fontId="22" numFmtId="0" xfId="0" applyAlignment="1" applyBorder="1" applyFont="1">
      <alignment horizontal="center" readingOrder="0" shrinkToFit="0" vertical="top" wrapText="1"/>
    </xf>
    <xf borderId="1" fillId="0" fontId="26" numFmtId="0" xfId="0" applyAlignment="1" applyBorder="1" applyFont="1">
      <alignment shrinkToFit="0" wrapText="1"/>
    </xf>
    <xf borderId="1" fillId="0" fontId="26" numFmtId="0" xfId="0" applyAlignment="1" applyBorder="1" applyFont="1">
      <alignment readingOrder="0" shrinkToFit="0" wrapText="1"/>
    </xf>
    <xf borderId="2" fillId="4" fontId="1" numFmtId="0" xfId="0" applyAlignment="1" applyBorder="1" applyFont="1">
      <alignment horizontal="left" readingOrder="0" shrinkToFit="0" vertical="center" wrapText="1"/>
    </xf>
    <xf borderId="2" fillId="0" fontId="5" numFmtId="0" xfId="0" applyAlignment="1" applyBorder="1" applyFont="1">
      <alignment readingOrder="0" shrinkToFit="0" vertical="center" wrapText="1"/>
    </xf>
    <xf borderId="0" fillId="2" fontId="28" numFmtId="0" xfId="0" applyAlignment="1" applyFont="1">
      <alignment horizontal="center" readingOrder="0" shrinkToFit="0" vertical="center" wrapText="1"/>
    </xf>
    <xf borderId="0" fillId="2" fontId="28" numFmtId="0" xfId="0" applyAlignment="1" applyFont="1">
      <alignment readingOrder="0" shrinkToFit="0" vertical="center" wrapText="1"/>
    </xf>
    <xf borderId="1" fillId="0" fontId="28" numFmtId="0" xfId="0" applyAlignment="1" applyBorder="1" applyFont="1">
      <alignment readingOrder="0" shrinkToFit="0" vertical="center" wrapText="1"/>
    </xf>
    <xf borderId="1" fillId="0" fontId="5" numFmtId="0" xfId="0" applyAlignment="1" applyBorder="1" applyFont="1">
      <alignment readingOrder="0" shrinkToFit="0" vertical="center" wrapText="1"/>
    </xf>
    <xf borderId="1" fillId="0" fontId="5" numFmtId="0" xfId="0" applyAlignment="1" applyBorder="1" applyFont="1">
      <alignment shrinkToFit="0" wrapText="1"/>
    </xf>
    <xf borderId="0" fillId="0" fontId="5" numFmtId="0" xfId="0" applyAlignment="1" applyFont="1">
      <alignment horizontal="center" readingOrder="0" shrinkToFit="0" vertical="center" wrapText="1"/>
    </xf>
    <xf borderId="0" fillId="0" fontId="5" numFmtId="0" xfId="0" applyAlignment="1" applyFont="1">
      <alignment readingOrder="0" shrinkToFit="0" vertical="center" wrapText="1"/>
    </xf>
    <xf borderId="0" fillId="0" fontId="5" numFmtId="0" xfId="0" applyAlignment="1" applyFont="1">
      <alignment shrinkToFit="0" vertical="center" wrapText="1"/>
    </xf>
    <xf borderId="1" fillId="0" fontId="0" numFmtId="0" xfId="0" applyAlignment="1" applyBorder="1" applyFont="1">
      <alignment shrinkToFit="0" wrapText="1"/>
    </xf>
    <xf borderId="1" fillId="0" fontId="5" numFmtId="0" xfId="0" applyAlignment="1" applyBorder="1" applyFont="1">
      <alignment shrinkToFit="0" vertical="center" wrapText="1"/>
    </xf>
    <xf borderId="1" fillId="0" fontId="0" numFmtId="0" xfId="0" applyAlignment="1" applyBorder="1" applyFont="1">
      <alignment horizontal="center" shrinkToFit="0" wrapText="1"/>
    </xf>
    <xf borderId="0" fillId="0" fontId="5" numFmtId="0" xfId="0" applyAlignment="1" applyFont="1">
      <alignment horizontal="left" readingOrder="0" shrinkToFit="0" vertical="center" wrapText="1"/>
    </xf>
    <xf borderId="0" fillId="0" fontId="9" numFmtId="0" xfId="0" applyAlignment="1" applyFont="1">
      <alignment readingOrder="0" vertical="center"/>
    </xf>
    <xf borderId="0" fillId="0" fontId="9" numFmtId="0" xfId="0" applyAlignment="1" applyFont="1">
      <alignment horizontal="left" readingOrder="0" vertical="center"/>
    </xf>
    <xf borderId="0" fillId="0" fontId="9" numFmtId="9" xfId="0" applyAlignment="1" applyFont="1" applyNumberFormat="1">
      <alignment horizontal="left" readingOrder="0" vertical="center"/>
    </xf>
    <xf borderId="1" fillId="5" fontId="22" numFmtId="0" xfId="0" applyAlignment="1" applyBorder="1" applyFont="1">
      <alignment readingOrder="0" shrinkToFit="0" vertical="center" wrapText="1"/>
    </xf>
    <xf borderId="0" fillId="0" fontId="5" numFmtId="0" xfId="0" applyAlignment="1" applyFont="1">
      <alignment readingOrder="0" shrinkToFit="0" wrapText="1"/>
    </xf>
    <xf borderId="1" fillId="5" fontId="22" numFmtId="0" xfId="0" applyAlignment="1" applyBorder="1" applyFont="1">
      <alignment horizontal="center" readingOrder="0" shrinkToFit="0" vertical="center" wrapText="1"/>
    </xf>
    <xf borderId="1" fillId="13" fontId="8" numFmtId="0" xfId="0" applyAlignment="1" applyBorder="1" applyFill="1" applyFont="1">
      <alignment readingOrder="0" shrinkToFit="0" vertical="center" wrapText="1"/>
    </xf>
    <xf borderId="1" fillId="13" fontId="22" numFmtId="0" xfId="0" applyAlignment="1" applyBorder="1" applyFont="1">
      <alignment readingOrder="0" shrinkToFit="0" vertical="center" wrapText="1"/>
    </xf>
    <xf borderId="1" fillId="3" fontId="4" numFmtId="0" xfId="0" applyAlignment="1" applyBorder="1" applyFont="1">
      <alignment horizontal="left" readingOrder="0" shrinkToFit="0" vertical="center" wrapText="1"/>
    </xf>
    <xf borderId="1" fillId="13" fontId="29" numFmtId="0" xfId="0" applyAlignment="1" applyBorder="1" applyFont="1">
      <alignment readingOrder="0" shrinkToFit="0" vertical="center" wrapText="1"/>
    </xf>
    <xf borderId="1" fillId="13" fontId="22" numFmtId="0" xfId="0" applyAlignment="1" applyBorder="1" applyFont="1">
      <alignment horizontal="center" readingOrder="0" shrinkToFit="0" vertical="center" wrapText="1"/>
    </xf>
    <xf borderId="1" fillId="13" fontId="26" numFmtId="0" xfId="0" applyAlignment="1" applyBorder="1" applyFont="1">
      <alignment shrinkToFit="0" wrapText="1"/>
    </xf>
    <xf borderId="1" fillId="3" fontId="4" numFmtId="0" xfId="0" applyAlignment="1" applyBorder="1" applyFont="1">
      <alignment horizontal="center" readingOrder="0" shrinkToFit="0" vertical="center" wrapText="1"/>
    </xf>
    <xf borderId="1" fillId="6" fontId="22" numFmtId="0" xfId="0" applyAlignment="1" applyBorder="1" applyFont="1">
      <alignment readingOrder="0" shrinkToFit="0" vertical="center" wrapText="1"/>
    </xf>
    <xf borderId="1" fillId="6" fontId="9" numFmtId="0" xfId="0" applyAlignment="1" applyBorder="1" applyFont="1">
      <alignment readingOrder="0" vertical="center"/>
    </xf>
    <xf borderId="1" fillId="7" fontId="22" numFmtId="0" xfId="0" applyAlignment="1" applyBorder="1" applyFont="1">
      <alignment readingOrder="0" shrinkToFit="0" vertical="center" wrapText="1"/>
    </xf>
    <xf borderId="1" fillId="6" fontId="29" numFmtId="0" xfId="0" applyAlignment="1" applyBorder="1" applyFont="1">
      <alignment readingOrder="0" shrinkToFit="0" vertical="center" wrapText="1"/>
    </xf>
    <xf borderId="1" fillId="6" fontId="22" numFmtId="0" xfId="0" applyAlignment="1" applyBorder="1" applyFont="1">
      <alignment horizontal="center" readingOrder="0" shrinkToFit="0" vertical="center" wrapText="1"/>
    </xf>
    <xf borderId="1" fillId="6" fontId="26" numFmtId="0" xfId="0" applyAlignment="1" applyBorder="1" applyFont="1">
      <alignment shrinkToFit="0" wrapText="1"/>
    </xf>
    <xf borderId="1" fillId="6" fontId="30" numFmtId="0" xfId="0" applyAlignment="1" applyBorder="1" applyFont="1">
      <alignment readingOrder="0" shrinkToFit="0" vertical="center" wrapText="1"/>
    </xf>
    <xf borderId="1" fillId="6" fontId="9" numFmtId="0" xfId="0" applyAlignment="1" applyBorder="1" applyFont="1">
      <alignment shrinkToFit="0" vertical="center" wrapText="1"/>
    </xf>
    <xf borderId="1" fillId="5" fontId="9" numFmtId="0" xfId="0" applyAlignment="1" applyBorder="1" applyFont="1">
      <alignment readingOrder="0" vertical="center"/>
    </xf>
    <xf borderId="1" fillId="6" fontId="31" numFmtId="0" xfId="0" applyAlignment="1" applyBorder="1" applyFont="1">
      <alignment readingOrder="0" shrinkToFit="0" vertical="center" wrapText="1"/>
    </xf>
    <xf borderId="0" fillId="0" fontId="11" numFmtId="0" xfId="0" applyFont="1"/>
    <xf borderId="0" fillId="5" fontId="8" numFmtId="0" xfId="0" applyAlignment="1" applyFont="1">
      <alignment readingOrder="0" shrinkToFit="0" vertical="top" wrapText="1"/>
    </xf>
    <xf borderId="0" fillId="0" fontId="26" numFmtId="0" xfId="0" applyAlignment="1" applyFont="1">
      <alignment shrinkToFit="0" wrapText="1"/>
    </xf>
    <xf borderId="1" fillId="5" fontId="32" numFmtId="0" xfId="0" applyAlignment="1" applyBorder="1" applyFont="1">
      <alignment readingOrder="0" shrinkToFit="0" vertical="center" wrapText="1"/>
    </xf>
    <xf borderId="1" fillId="5" fontId="9" numFmtId="0" xfId="0" applyAlignment="1" applyBorder="1" applyFont="1">
      <alignment shrinkToFit="0" vertical="center" wrapText="1"/>
    </xf>
    <xf borderId="1" fillId="5" fontId="8" numFmtId="0" xfId="0" applyAlignment="1" applyBorder="1" applyFont="1">
      <alignment horizontal="center" readingOrder="0" shrinkToFit="0" vertical="top" wrapText="1"/>
    </xf>
    <xf borderId="1" fillId="5" fontId="33" numFmtId="0" xfId="0" applyAlignment="1" applyBorder="1" applyFont="1">
      <alignment horizontal="center" readingOrder="0" shrinkToFit="0" vertical="top" wrapText="1"/>
    </xf>
    <xf borderId="1" fillId="5" fontId="11" numFmtId="0" xfId="0" applyBorder="1" applyFont="1"/>
    <xf borderId="0" fillId="6" fontId="8" numFmtId="0" xfId="0" applyAlignment="1" applyFont="1">
      <alignment readingOrder="0" shrinkToFit="0" vertical="top" wrapText="1"/>
    </xf>
    <xf borderId="1" fillId="5" fontId="34" numFmtId="0" xfId="0" applyAlignment="1" applyBorder="1" applyFont="1">
      <alignment readingOrder="0" shrinkToFit="0" vertical="top" wrapText="1"/>
    </xf>
    <xf borderId="1" fillId="6" fontId="8" numFmtId="0" xfId="0" applyAlignment="1" applyBorder="1" applyFont="1">
      <alignment horizontal="center" readingOrder="0" shrinkToFit="0" vertical="top" wrapText="1"/>
    </xf>
    <xf borderId="1" fillId="5" fontId="9" numFmtId="0" xfId="0" applyAlignment="1" applyBorder="1" applyFont="1">
      <alignment readingOrder="0" shrinkToFit="0" vertical="center" wrapText="1"/>
    </xf>
    <xf borderId="1" fillId="6" fontId="20" numFmtId="0" xfId="0" applyBorder="1" applyFont="1"/>
    <xf borderId="1" fillId="0" fontId="9" numFmtId="0" xfId="0" applyAlignment="1" applyBorder="1" applyFont="1">
      <alignment readingOrder="0" vertical="center"/>
    </xf>
    <xf borderId="0" fillId="13" fontId="8" numFmtId="0" xfId="0" applyAlignment="1" applyFont="1">
      <alignment readingOrder="0" shrinkToFit="0" vertical="top" wrapText="1"/>
    </xf>
    <xf borderId="1" fillId="10" fontId="22" numFmtId="0" xfId="0" applyAlignment="1" applyBorder="1" applyFont="1">
      <alignment readingOrder="0" shrinkToFit="0" vertical="center" wrapText="1"/>
    </xf>
    <xf borderId="1" fillId="13" fontId="8" numFmtId="0" xfId="0" applyAlignment="1" applyBorder="1" applyFont="1">
      <alignment readingOrder="0" shrinkToFit="0" vertical="top" wrapText="1"/>
    </xf>
    <xf borderId="1" fillId="0" fontId="22" numFmtId="0" xfId="0" applyAlignment="1" applyBorder="1" applyFont="1">
      <alignment readingOrder="0" shrinkToFit="0" vertical="center" wrapText="1"/>
    </xf>
    <xf borderId="1" fillId="5" fontId="35" numFmtId="0" xfId="0" applyAlignment="1" applyBorder="1" applyFont="1">
      <alignment readingOrder="0" shrinkToFit="0" vertical="top" wrapText="1"/>
    </xf>
    <xf borderId="1" fillId="13" fontId="36" numFmtId="0" xfId="0" applyAlignment="1" applyBorder="1" applyFont="1">
      <alignment readingOrder="0" shrinkToFit="0" vertical="top" wrapText="1"/>
    </xf>
    <xf borderId="1" fillId="5" fontId="33" numFmtId="0" xfId="0" applyAlignment="1" applyBorder="1" applyFont="1">
      <alignment horizontal="center" readingOrder="0" shrinkToFit="0" vertical="top" wrapText="1"/>
    </xf>
    <xf borderId="1" fillId="0" fontId="22" numFmtId="0" xfId="0" applyAlignment="1" applyBorder="1" applyFont="1">
      <alignment horizontal="center" readingOrder="0" shrinkToFit="0" vertical="center" wrapText="1"/>
    </xf>
    <xf borderId="1" fillId="13" fontId="8" numFmtId="0" xfId="0" applyAlignment="1" applyBorder="1" applyFont="1">
      <alignment horizontal="center" readingOrder="0" shrinkToFit="0" vertical="top" wrapText="1"/>
    </xf>
    <xf borderId="1" fillId="5" fontId="11" numFmtId="0" xfId="0" applyAlignment="1" applyBorder="1" applyFont="1">
      <alignment readingOrder="0" shrinkToFit="0" vertical="top" wrapText="1"/>
    </xf>
    <xf borderId="1" fillId="0" fontId="26" numFmtId="0" xfId="0" applyAlignment="1" applyBorder="1" applyFont="1">
      <alignment shrinkToFit="0" vertical="center" wrapText="1"/>
    </xf>
    <xf borderId="1" fillId="13" fontId="33" numFmtId="0" xfId="0" applyAlignment="1" applyBorder="1" applyFont="1">
      <alignment horizontal="center" readingOrder="0" shrinkToFit="0" vertical="top" wrapText="1"/>
    </xf>
    <xf borderId="0" fillId="0" fontId="8" numFmtId="0" xfId="0" applyAlignment="1" applyFont="1">
      <alignment readingOrder="0" shrinkToFit="0" vertical="top" wrapText="1"/>
    </xf>
    <xf borderId="1" fillId="0" fontId="37" numFmtId="0" xfId="0" applyAlignment="1" applyBorder="1" applyFont="1">
      <alignment readingOrder="0" shrinkToFit="0" vertical="top" wrapText="1"/>
    </xf>
    <xf borderId="1" fillId="0" fontId="36" numFmtId="0" xfId="0" applyAlignment="1" applyBorder="1" applyFont="1">
      <alignment readingOrder="0" shrinkToFit="0" vertical="top" wrapText="1"/>
    </xf>
    <xf borderId="1" fillId="6" fontId="26" numFmtId="0" xfId="0" applyAlignment="1" applyBorder="1" applyFont="1">
      <alignment shrinkToFit="0" vertical="center" wrapText="1"/>
    </xf>
    <xf borderId="1" fillId="0" fontId="8" numFmtId="0" xfId="0" applyAlignment="1" applyBorder="1" applyFont="1">
      <alignment horizontal="center" readingOrder="0" shrinkToFit="0" vertical="top" wrapText="1"/>
    </xf>
    <xf borderId="1" fillId="0" fontId="33" numFmtId="0" xfId="0" applyAlignment="1" applyBorder="1" applyFont="1">
      <alignment horizontal="center" readingOrder="0" shrinkToFit="0" vertical="top" wrapText="1"/>
    </xf>
    <xf borderId="1" fillId="10" fontId="9" numFmtId="0" xfId="0" applyAlignment="1" applyBorder="1" applyFont="1">
      <alignment readingOrder="0" vertical="center"/>
    </xf>
    <xf borderId="1" fillId="14" fontId="22" numFmtId="0" xfId="0" applyAlignment="1" applyBorder="1" applyFill="1" applyFont="1">
      <alignment readingOrder="0" shrinkToFit="0" vertical="center" wrapText="1"/>
    </xf>
    <xf borderId="1" fillId="6" fontId="36" numFmtId="0" xfId="0" applyAlignment="1" applyBorder="1" applyFont="1">
      <alignment readingOrder="0" shrinkToFit="0" vertical="top" wrapText="1"/>
    </xf>
    <xf borderId="1" fillId="6" fontId="33" numFmtId="0" xfId="0" applyAlignment="1" applyBorder="1" applyFont="1">
      <alignment horizontal="center" readingOrder="0" shrinkToFit="0" vertical="top" wrapText="1"/>
    </xf>
    <xf borderId="1" fillId="0" fontId="38" numFmtId="0" xfId="0" applyAlignment="1" applyBorder="1" applyFont="1">
      <alignment readingOrder="0" shrinkToFit="0" vertical="top" wrapText="1"/>
    </xf>
    <xf borderId="1" fillId="6" fontId="11" numFmtId="0" xfId="0" applyBorder="1" applyFont="1"/>
    <xf borderId="1" fillId="0" fontId="11" numFmtId="0" xfId="0" applyAlignment="1" applyBorder="1" applyFont="1">
      <alignment readingOrder="0" shrinkToFit="0" vertical="top" wrapText="1"/>
    </xf>
    <xf borderId="1" fillId="0" fontId="11" numFmtId="0" xfId="0" applyAlignment="1" applyBorder="1" applyFont="1">
      <alignment horizontal="center" readingOrder="0"/>
    </xf>
    <xf borderId="1" fillId="0" fontId="11" numFmtId="0" xfId="0" applyAlignment="1" applyBorder="1" applyFont="1">
      <alignment horizontal="center"/>
    </xf>
    <xf borderId="1" fillId="10" fontId="39" numFmtId="0" xfId="0" applyAlignment="1" applyBorder="1" applyFont="1">
      <alignment readingOrder="0" shrinkToFit="0" vertical="center" wrapText="1"/>
    </xf>
    <xf borderId="1" fillId="5" fontId="37" numFmtId="0" xfId="0" applyAlignment="1" applyBorder="1" applyFont="1">
      <alignment readingOrder="0" shrinkToFit="0" vertical="top" wrapText="1"/>
    </xf>
    <xf borderId="0" fillId="0" fontId="11" numFmtId="0" xfId="0" applyAlignment="1" applyFont="1">
      <alignment readingOrder="0"/>
    </xf>
    <xf borderId="1" fillId="5" fontId="40" numFmtId="0" xfId="0" applyAlignment="1" applyBorder="1" applyFont="1">
      <alignment readingOrder="0" shrinkToFit="0" vertical="top" wrapText="1"/>
    </xf>
    <xf borderId="1" fillId="6" fontId="26" numFmtId="0" xfId="0" applyAlignment="1" applyBorder="1" applyFont="1">
      <alignment readingOrder="0" shrinkToFit="0" vertical="center" wrapText="1"/>
    </xf>
    <xf borderId="0" fillId="0" fontId="11" numFmtId="0" xfId="0" applyAlignment="1" applyFont="1">
      <alignment horizontal="center" readingOrder="0"/>
    </xf>
    <xf borderId="1" fillId="0" fontId="26" numFmtId="0" xfId="0" applyAlignment="1" applyBorder="1" applyFont="1">
      <alignment shrinkToFit="0" vertical="bottom" wrapText="1"/>
    </xf>
    <xf borderId="0" fillId="0" fontId="11" numFmtId="0" xfId="0" applyAlignment="1" applyFont="1">
      <alignment horizontal="center"/>
    </xf>
    <xf borderId="0" fillId="5" fontId="9" numFmtId="0" xfId="0" applyFont="1"/>
    <xf borderId="1" fillId="0" fontId="0" numFmtId="0" xfId="0" applyAlignment="1" applyBorder="1" applyFont="1">
      <alignment shrinkToFit="0" vertical="bottom" wrapText="1"/>
    </xf>
    <xf borderId="1" fillId="0" fontId="0" numFmtId="0" xfId="0" applyAlignment="1" applyBorder="1" applyFont="1">
      <alignment horizontal="center" shrinkToFit="0" vertical="bottom" wrapText="1"/>
    </xf>
    <xf borderId="0" fillId="0" fontId="26" numFmtId="0" xfId="0" applyAlignment="1" applyFont="1">
      <alignment shrinkToFit="0" vertical="bottom" wrapText="1"/>
    </xf>
    <xf borderId="0" fillId="0" fontId="0" numFmtId="0" xfId="0" applyAlignment="1" applyFont="1">
      <alignment shrinkToFit="0" vertical="bottom" wrapText="1"/>
    </xf>
    <xf borderId="0" fillId="0" fontId="11" numFmtId="0" xfId="0" applyAlignment="1" applyFont="1">
      <alignment shrinkToFit="0" vertical="center" wrapText="1"/>
    </xf>
    <xf borderId="0" fillId="0" fontId="0" numFmtId="0" xfId="0" applyAlignment="1" applyFont="1">
      <alignment horizontal="center" shrinkToFit="0" vertical="bottom" wrapText="1"/>
    </xf>
    <xf borderId="1" fillId="6" fontId="33" numFmtId="0" xfId="0" applyAlignment="1" applyBorder="1" applyFont="1">
      <alignment readingOrder="0" shrinkToFit="0" vertical="center" wrapText="1"/>
    </xf>
    <xf borderId="1" fillId="6" fontId="12" numFmtId="0" xfId="0" applyAlignment="1" applyBorder="1" applyFont="1">
      <alignment horizontal="left" readingOrder="0" shrinkToFit="0" vertical="center" wrapText="1"/>
    </xf>
    <xf borderId="5" fillId="15" fontId="41" numFmtId="0" xfId="0" applyAlignment="1" applyBorder="1" applyFill="1" applyFont="1">
      <alignment horizontal="center" shrinkToFit="0" wrapText="1"/>
    </xf>
    <xf borderId="1" fillId="6" fontId="42" numFmtId="0" xfId="0" applyAlignment="1" applyBorder="1" applyFont="1">
      <alignment shrinkToFit="0" vertical="center" wrapText="1"/>
    </xf>
    <xf borderId="6" fillId="0" fontId="15" numFmtId="0" xfId="0" applyBorder="1" applyFont="1"/>
    <xf borderId="1" fillId="6" fontId="5" numFmtId="0" xfId="0" applyAlignment="1" applyBorder="1" applyFont="1">
      <alignment shrinkToFit="0" vertical="center" wrapText="1"/>
    </xf>
    <xf borderId="1" fillId="0" fontId="11" numFmtId="0" xfId="0" applyAlignment="1" applyBorder="1" applyFont="1">
      <alignment shrinkToFit="0" vertical="top" wrapText="1"/>
    </xf>
    <xf borderId="7" fillId="0" fontId="15" numFmtId="0" xfId="0" applyBorder="1" applyFont="1"/>
    <xf borderId="1" fillId="6" fontId="11" numFmtId="0" xfId="0" applyAlignment="1" applyBorder="1" applyFont="1">
      <alignment vertical="center"/>
    </xf>
    <xf borderId="8" fillId="0" fontId="15" numFmtId="0" xfId="0" applyBorder="1" applyFont="1"/>
    <xf borderId="9" fillId="0" fontId="15" numFmtId="0" xfId="0" applyBorder="1" applyFont="1"/>
    <xf borderId="10" fillId="0" fontId="15" numFmtId="0" xfId="0" applyBorder="1" applyFont="1"/>
    <xf borderId="11" fillId="15" fontId="41" numFmtId="0" xfId="0" applyAlignment="1" applyBorder="1" applyFont="1">
      <alignment horizontal="center" shrinkToFit="0" wrapText="1"/>
    </xf>
    <xf borderId="11" fillId="15" fontId="41" numFmtId="49" xfId="0" applyAlignment="1" applyBorder="1" applyFont="1" applyNumberFormat="1">
      <alignment horizontal="center" readingOrder="0" shrinkToFit="0" wrapText="1"/>
    </xf>
    <xf borderId="1" fillId="0" fontId="33" numFmtId="0" xfId="0" applyAlignment="1" applyBorder="1" applyFont="1">
      <alignment readingOrder="0" shrinkToFit="0" vertical="center" wrapText="1"/>
    </xf>
    <xf borderId="11" fillId="15" fontId="41" numFmtId="0" xfId="0" applyAlignment="1" applyBorder="1" applyFont="1">
      <alignment horizontal="center" readingOrder="0" shrinkToFit="0" wrapText="1"/>
    </xf>
    <xf borderId="0" fillId="0" fontId="13" numFmtId="0" xfId="0" applyFont="1"/>
    <xf borderId="1" fillId="0" fontId="12" numFmtId="0" xfId="0" applyAlignment="1" applyBorder="1" applyFont="1">
      <alignment horizontal="left" readingOrder="0" shrinkToFit="0" vertical="center" wrapText="1"/>
    </xf>
    <xf borderId="11" fillId="0" fontId="43" numFmtId="0" xfId="0" applyAlignment="1" applyBorder="1" applyFont="1">
      <alignment horizontal="center" shrinkToFit="0" wrapText="1"/>
    </xf>
    <xf borderId="5" fillId="15" fontId="44" numFmtId="0" xfId="0" applyAlignment="1" applyBorder="1" applyFont="1">
      <alignment horizontal="center" shrinkToFit="0" vertical="center" wrapText="1"/>
    </xf>
    <xf borderId="1" fillId="16" fontId="42" numFmtId="0" xfId="0" applyAlignment="1" applyBorder="1" applyFill="1" applyFont="1">
      <alignment shrinkToFit="0" vertical="center" wrapText="1"/>
    </xf>
    <xf borderId="12" fillId="0" fontId="13" numFmtId="0" xfId="0" applyBorder="1" applyFont="1"/>
    <xf borderId="11" fillId="17" fontId="45" numFmtId="0" xfId="0" applyAlignment="1" applyBorder="1" applyFill="1" applyFont="1">
      <alignment shrinkToFit="0" wrapText="1"/>
    </xf>
    <xf borderId="13" fillId="0" fontId="15" numFmtId="0" xfId="0" applyBorder="1" applyFont="1"/>
    <xf borderId="1" fillId="16" fontId="5" numFmtId="0" xfId="0" applyAlignment="1" applyBorder="1" applyFont="1">
      <alignment shrinkToFit="0" vertical="center" wrapText="1"/>
    </xf>
    <xf borderId="11" fillId="17" fontId="46" numFmtId="0" xfId="0" applyAlignment="1" applyBorder="1" applyFont="1">
      <alignment horizontal="center" shrinkToFit="0" wrapText="1"/>
    </xf>
    <xf borderId="14" fillId="0" fontId="15" numFmtId="0" xfId="0" applyBorder="1" applyFont="1"/>
    <xf borderId="11" fillId="17" fontId="47" numFmtId="164" xfId="0" applyAlignment="1" applyBorder="1" applyFont="1" applyNumberFormat="1">
      <alignment horizontal="center" shrinkToFit="0" wrapText="1"/>
    </xf>
    <xf borderId="0" fillId="17" fontId="47" numFmtId="49" xfId="0" applyAlignment="1" applyFont="1" applyNumberFormat="1">
      <alignment horizontal="center" shrinkToFit="0" wrapText="1"/>
    </xf>
    <xf borderId="0" fillId="0" fontId="48" numFmtId="0" xfId="0" applyAlignment="1" applyFont="1">
      <alignment readingOrder="0" shrinkToFit="0" wrapText="1"/>
    </xf>
    <xf borderId="15" fillId="18" fontId="49" numFmtId="0" xfId="0" applyAlignment="1" applyBorder="1" applyFill="1" applyFont="1">
      <alignment horizontal="center" shrinkToFit="0" vertical="center" wrapText="1"/>
    </xf>
    <xf borderId="16" fillId="0" fontId="15" numFmtId="0" xfId="0" applyBorder="1" applyFont="1"/>
    <xf borderId="17" fillId="0" fontId="15" numFmtId="0" xfId="0" applyBorder="1" applyFont="1"/>
    <xf borderId="11" fillId="15" fontId="44" numFmtId="0" xfId="0" applyAlignment="1" applyBorder="1" applyFont="1">
      <alignment horizontal="center" shrinkToFit="0" vertical="center" wrapText="1"/>
    </xf>
    <xf borderId="18" fillId="15" fontId="44" numFmtId="0" xfId="0" applyAlignment="1" applyBorder="1" applyFont="1">
      <alignment horizontal="center" readingOrder="0" shrinkToFit="0" vertical="center" wrapText="1"/>
    </xf>
    <xf borderId="19" fillId="15" fontId="44" numFmtId="0" xfId="0" applyAlignment="1" applyBorder="1" applyFont="1">
      <alignment horizontal="center" readingOrder="0" shrinkToFit="0" vertical="center" wrapText="1"/>
    </xf>
    <xf borderId="20" fillId="15" fontId="44" numFmtId="0" xfId="0" applyAlignment="1" applyBorder="1" applyFont="1">
      <alignment horizontal="left" shrinkToFit="0" vertical="center" wrapText="1"/>
    </xf>
    <xf borderId="21" fillId="0" fontId="15" numFmtId="0" xfId="0" applyBorder="1" applyFont="1"/>
    <xf borderId="22" fillId="0" fontId="15" numFmtId="0" xfId="0" applyBorder="1" applyFont="1"/>
    <xf borderId="11" fillId="16" fontId="50" numFmtId="0" xfId="0" applyAlignment="1" applyBorder="1" applyFont="1">
      <alignment shrinkToFit="0" wrapText="1"/>
    </xf>
    <xf borderId="11" fillId="16" fontId="46" numFmtId="0" xfId="0" applyAlignment="1" applyBorder="1" applyFont="1">
      <alignment horizontal="center" shrinkToFit="0" wrapText="1"/>
    </xf>
    <xf borderId="11" fillId="17" fontId="49" numFmtId="0" xfId="0" applyAlignment="1" applyBorder="1" applyFont="1">
      <alignment horizontal="left" shrinkToFit="0" vertical="center" wrapText="1"/>
    </xf>
    <xf borderId="11" fillId="16" fontId="47" numFmtId="164" xfId="0" applyAlignment="1" applyBorder="1" applyFont="1" applyNumberFormat="1">
      <alignment horizontal="center" shrinkToFit="0" wrapText="1"/>
    </xf>
    <xf borderId="11" fillId="17" fontId="51" numFmtId="0" xfId="0" applyAlignment="1" applyBorder="1" applyFont="1">
      <alignment horizontal="left" shrinkToFit="0" vertical="center" wrapText="1"/>
    </xf>
    <xf borderId="0" fillId="16" fontId="47" numFmtId="49" xfId="0" applyAlignment="1" applyFont="1" applyNumberFormat="1">
      <alignment horizontal="center" shrinkToFit="0" wrapText="1"/>
    </xf>
    <xf borderId="11" fillId="17" fontId="52" numFmtId="0" xfId="0" applyAlignment="1" applyBorder="1" applyFont="1">
      <alignment horizontal="left" shrinkToFit="0" vertical="top" wrapText="1"/>
    </xf>
    <xf borderId="1" fillId="0" fontId="53" numFmtId="0" xfId="0" applyAlignment="1" applyBorder="1" applyFont="1">
      <alignment readingOrder="0" vertical="center"/>
    </xf>
    <xf borderId="11" fillId="19" fontId="54" numFmtId="0" xfId="0" applyAlignment="1" applyBorder="1" applyFill="1" applyFont="1">
      <alignment shrinkToFit="0" wrapText="1"/>
    </xf>
    <xf borderId="11" fillId="19" fontId="46" numFmtId="0" xfId="0" applyAlignment="1" applyBorder="1" applyFont="1">
      <alignment horizontal="center" shrinkToFit="0" wrapText="1"/>
    </xf>
    <xf borderId="12" fillId="0" fontId="11" numFmtId="0" xfId="0" applyAlignment="1" applyBorder="1" applyFont="1">
      <alignment readingOrder="0"/>
    </xf>
    <xf borderId="11" fillId="16" fontId="49" numFmtId="0" xfId="0" applyAlignment="1" applyBorder="1" applyFont="1">
      <alignment horizontal="left" shrinkToFit="0" vertical="center" wrapText="1"/>
    </xf>
    <xf borderId="1" fillId="0" fontId="11" numFmtId="0" xfId="0" applyAlignment="1" applyBorder="1" applyFont="1">
      <alignment vertical="center"/>
    </xf>
    <xf borderId="11" fillId="16" fontId="51" numFmtId="0" xfId="0" applyAlignment="1" applyBorder="1" applyFont="1">
      <alignment horizontal="left" shrinkToFit="0" vertical="center" wrapText="1"/>
    </xf>
    <xf borderId="11" fillId="16" fontId="52" numFmtId="0" xfId="0" applyAlignment="1" applyBorder="1" applyFont="1">
      <alignment horizontal="left" shrinkToFit="0" vertical="top" wrapText="1"/>
    </xf>
    <xf borderId="11" fillId="19" fontId="47" numFmtId="164" xfId="0" applyAlignment="1" applyBorder="1" applyFont="1" applyNumberFormat="1">
      <alignment horizontal="center" shrinkToFit="0" wrapText="1"/>
    </xf>
    <xf borderId="0" fillId="19" fontId="47" numFmtId="49" xfId="0" applyAlignment="1" applyFont="1" applyNumberFormat="1">
      <alignment horizontal="center" readingOrder="0" shrinkToFit="0" wrapText="1"/>
    </xf>
    <xf borderId="0" fillId="0" fontId="11" numFmtId="0" xfId="0" applyAlignment="1" applyFont="1">
      <alignment readingOrder="0" shrinkToFit="0" wrapText="1"/>
    </xf>
    <xf borderId="11" fillId="16" fontId="55" numFmtId="0" xfId="0" applyAlignment="1" applyBorder="1" applyFont="1">
      <alignment shrinkToFit="0" wrapText="1"/>
    </xf>
    <xf borderId="0" fillId="16" fontId="47" numFmtId="49" xfId="0" applyAlignment="1" applyFont="1" applyNumberFormat="1">
      <alignment horizontal="center" readingOrder="0" shrinkToFit="0" wrapText="1"/>
    </xf>
    <xf borderId="0" fillId="0" fontId="11" numFmtId="0" xfId="0" applyAlignment="1" applyFont="1">
      <alignment shrinkToFit="0" wrapText="1"/>
    </xf>
    <xf borderId="1" fillId="0" fontId="8" numFmtId="0" xfId="0" applyAlignment="1" applyBorder="1" applyFont="1">
      <alignment horizontal="left" readingOrder="0" shrinkToFit="0" vertical="center" wrapText="1"/>
    </xf>
    <xf borderId="11" fillId="20" fontId="56" numFmtId="0" xfId="0" applyAlignment="1" applyBorder="1" applyFill="1" applyFont="1">
      <alignment shrinkToFit="0" wrapText="1"/>
    </xf>
    <xf borderId="11" fillId="20" fontId="46" numFmtId="0" xfId="0" applyAlignment="1" applyBorder="1" applyFont="1">
      <alignment horizontal="center" shrinkToFit="0" wrapText="1"/>
    </xf>
    <xf borderId="11" fillId="20" fontId="47" numFmtId="164" xfId="0" applyAlignment="1" applyBorder="1" applyFont="1" applyNumberFormat="1">
      <alignment horizontal="center" shrinkToFit="0" wrapText="1"/>
    </xf>
    <xf borderId="0" fillId="20" fontId="47" numFmtId="49" xfId="0" applyAlignment="1" applyFont="1" applyNumberFormat="1">
      <alignment horizontal="center" shrinkToFit="0" wrapText="1"/>
    </xf>
    <xf borderId="11" fillId="16" fontId="47" numFmtId="0" xfId="0" applyAlignment="1" applyBorder="1" applyFont="1">
      <alignment shrinkToFit="0" wrapText="1"/>
    </xf>
    <xf borderId="11" fillId="16" fontId="45" numFmtId="0" xfId="0" applyAlignment="1" applyBorder="1" applyFont="1">
      <alignment shrinkToFit="0" wrapText="1"/>
    </xf>
    <xf borderId="11" fillId="16" fontId="57" numFmtId="0" xfId="0" applyAlignment="1" applyBorder="1" applyFont="1">
      <alignment shrinkToFit="0" wrapText="1"/>
    </xf>
    <xf borderId="20" fillId="21" fontId="44" numFmtId="0" xfId="0" applyAlignment="1" applyBorder="1" applyFill="1" applyFont="1">
      <alignment horizontal="left" shrinkToFit="0" vertical="center" wrapText="1"/>
    </xf>
    <xf borderId="11" fillId="22" fontId="58" numFmtId="0" xfId="0" applyAlignment="1" applyBorder="1" applyFill="1" applyFont="1">
      <alignment shrinkToFit="0" wrapText="1"/>
    </xf>
    <xf borderId="11" fillId="21" fontId="44" numFmtId="0" xfId="0" applyAlignment="1" applyBorder="1" applyFont="1">
      <alignment horizontal="center" shrinkToFit="0" vertical="center" wrapText="1"/>
    </xf>
    <xf borderId="11" fillId="22" fontId="46" numFmtId="0" xfId="0" applyAlignment="1" applyBorder="1" applyFont="1">
      <alignment horizontal="center" shrinkToFit="0" wrapText="1"/>
    </xf>
    <xf borderId="11" fillId="16" fontId="59" numFmtId="0" xfId="0" applyAlignment="1" applyBorder="1" applyFont="1">
      <alignment horizontal="left" shrinkToFit="0" vertical="center" wrapText="1"/>
    </xf>
    <xf borderId="11" fillId="22" fontId="47" numFmtId="164" xfId="0" applyAlignment="1" applyBorder="1" applyFont="1" applyNumberFormat="1">
      <alignment horizontal="center" shrinkToFit="0" wrapText="1"/>
    </xf>
    <xf borderId="0" fillId="22" fontId="47" numFmtId="49" xfId="0" applyAlignment="1" applyFont="1" applyNumberFormat="1">
      <alignment horizontal="center" readingOrder="0" shrinkToFit="0" wrapText="1"/>
    </xf>
    <xf borderId="11" fillId="20" fontId="59" numFmtId="0" xfId="0" applyAlignment="1" applyBorder="1" applyFont="1">
      <alignment horizontal="left" shrinkToFit="0" vertical="center" wrapText="1"/>
    </xf>
    <xf borderId="11" fillId="20" fontId="51" numFmtId="0" xfId="0" applyAlignment="1" applyBorder="1" applyFont="1">
      <alignment horizontal="left" shrinkToFit="0" vertical="center" wrapText="1"/>
    </xf>
    <xf borderId="11" fillId="16" fontId="60" numFmtId="0" xfId="0" applyAlignment="1" applyBorder="1" applyFont="1">
      <alignment shrinkToFit="0" wrapText="1"/>
    </xf>
    <xf borderId="11" fillId="20" fontId="52" numFmtId="0" xfId="0" applyAlignment="1" applyBorder="1" applyFont="1">
      <alignment horizontal="left" shrinkToFit="0" vertical="top" wrapText="1"/>
    </xf>
    <xf borderId="11" fillId="23" fontId="47" numFmtId="0" xfId="0" applyAlignment="1" applyBorder="1" applyFill="1" applyFont="1">
      <alignment shrinkToFit="0" wrapText="1"/>
    </xf>
    <xf borderId="11" fillId="23" fontId="46" numFmtId="0" xfId="0" applyAlignment="1" applyBorder="1" applyFont="1">
      <alignment horizontal="center" shrinkToFit="0" wrapText="1"/>
    </xf>
    <xf borderId="11" fillId="23" fontId="47" numFmtId="164" xfId="0" applyAlignment="1" applyBorder="1" applyFont="1" applyNumberFormat="1">
      <alignment horizontal="center" shrinkToFit="0" wrapText="1"/>
    </xf>
    <xf borderId="0" fillId="23" fontId="47" numFmtId="49" xfId="0" applyAlignment="1" applyFont="1" applyNumberFormat="1">
      <alignment horizontal="center" shrinkToFit="0" wrapText="1"/>
    </xf>
    <xf borderId="11" fillId="16" fontId="54" numFmtId="0" xfId="0" applyAlignment="1" applyBorder="1" applyFont="1">
      <alignment shrinkToFit="0" wrapText="1"/>
    </xf>
    <xf borderId="20" fillId="24" fontId="44" numFmtId="0" xfId="0" applyAlignment="1" applyBorder="1" applyFill="1" applyFont="1">
      <alignment horizontal="left" shrinkToFit="0" vertical="center" wrapText="1"/>
    </xf>
    <xf borderId="11" fillId="25" fontId="61" numFmtId="0" xfId="0" applyAlignment="1" applyBorder="1" applyFill="1" applyFont="1">
      <alignment shrinkToFit="0" wrapText="1"/>
    </xf>
    <xf borderId="11" fillId="24" fontId="44" numFmtId="0" xfId="0" applyAlignment="1" applyBorder="1" applyFont="1">
      <alignment horizontal="center" shrinkToFit="0" vertical="center" wrapText="1"/>
    </xf>
    <xf borderId="11" fillId="25" fontId="46" numFmtId="0" xfId="0" applyAlignment="1" applyBorder="1" applyFont="1">
      <alignment horizontal="center" shrinkToFit="0" wrapText="1"/>
    </xf>
    <xf borderId="11" fillId="26" fontId="62" numFmtId="0" xfId="0" applyAlignment="1" applyBorder="1" applyFill="1" applyFont="1">
      <alignment horizontal="left" shrinkToFit="0" vertical="center" wrapText="1"/>
    </xf>
    <xf borderId="11" fillId="25" fontId="47" numFmtId="164" xfId="0" applyAlignment="1" applyBorder="1" applyFont="1" applyNumberFormat="1">
      <alignment horizontal="center" shrinkToFit="0" wrapText="1"/>
    </xf>
    <xf borderId="11" fillId="26" fontId="51" numFmtId="0" xfId="0" applyAlignment="1" applyBorder="1" applyFont="1">
      <alignment horizontal="left" shrinkToFit="0" vertical="center" wrapText="1"/>
    </xf>
    <xf borderId="0" fillId="25" fontId="47" numFmtId="49" xfId="0" applyAlignment="1" applyFont="1" applyNumberFormat="1">
      <alignment horizontal="center" shrinkToFit="0" wrapText="1"/>
    </xf>
    <xf borderId="11" fillId="26" fontId="52" numFmtId="0" xfId="0" applyAlignment="1" applyBorder="1" applyFont="1">
      <alignment horizontal="left" shrinkToFit="0" vertical="top" wrapText="1"/>
    </xf>
    <xf borderId="11" fillId="16" fontId="63" numFmtId="0" xfId="0" applyAlignment="1" applyBorder="1" applyFont="1">
      <alignment shrinkToFit="0" wrapText="1"/>
    </xf>
    <xf borderId="11" fillId="16" fontId="62" numFmtId="0" xfId="0" applyAlignment="1" applyBorder="1" applyFont="1">
      <alignment horizontal="left" shrinkToFit="0" vertical="center" wrapText="1"/>
    </xf>
    <xf borderId="11" fillId="27" fontId="64" numFmtId="0" xfId="0" applyAlignment="1" applyBorder="1" applyFill="1" applyFont="1">
      <alignment readingOrder="0" shrinkToFit="0" wrapText="1"/>
    </xf>
    <xf borderId="11" fillId="27" fontId="46" numFmtId="0" xfId="0" applyAlignment="1" applyBorder="1" applyFont="1">
      <alignment horizontal="center" shrinkToFit="0" wrapText="1"/>
    </xf>
    <xf borderId="11" fillId="27" fontId="47" numFmtId="164" xfId="0" applyAlignment="1" applyBorder="1" applyFont="1" applyNumberFormat="1">
      <alignment horizontal="center" shrinkToFit="0" wrapText="1"/>
    </xf>
    <xf borderId="0" fillId="27" fontId="47" numFmtId="49" xfId="0" applyAlignment="1" applyFont="1" applyNumberFormat="1">
      <alignment horizontal="center" shrinkToFit="0" wrapText="1"/>
    </xf>
    <xf borderId="11" fillId="16" fontId="61" numFmtId="0" xfId="0" applyAlignment="1" applyBorder="1" applyFont="1">
      <alignment shrinkToFit="0" wrapText="1"/>
    </xf>
    <xf borderId="11" fillId="26" fontId="50" numFmtId="0" xfId="0" applyAlignment="1" applyBorder="1" applyFont="1">
      <alignment shrinkToFit="0" wrapText="1"/>
    </xf>
    <xf borderId="20" fillId="28" fontId="44" numFmtId="0" xfId="0" applyAlignment="1" applyBorder="1" applyFill="1" applyFont="1">
      <alignment horizontal="left" shrinkToFit="0" vertical="center" wrapText="1"/>
    </xf>
    <xf borderId="11" fillId="26" fontId="46" numFmtId="0" xfId="0" applyAlignment="1" applyBorder="1" applyFont="1">
      <alignment horizontal="center" shrinkToFit="0" wrapText="1"/>
    </xf>
    <xf borderId="11" fillId="26" fontId="47" numFmtId="164" xfId="0" applyAlignment="1" applyBorder="1" applyFont="1" applyNumberFormat="1">
      <alignment horizontal="center" shrinkToFit="0" wrapText="1"/>
    </xf>
    <xf borderId="11" fillId="28" fontId="44" numFmtId="0" xfId="0" applyAlignment="1" applyBorder="1" applyFont="1">
      <alignment horizontal="center" shrinkToFit="0" vertical="center" wrapText="1"/>
    </xf>
    <xf borderId="0" fillId="26" fontId="47" numFmtId="49" xfId="0" applyAlignment="1" applyFont="1" applyNumberFormat="1">
      <alignment horizontal="center" shrinkToFit="0" wrapText="1"/>
    </xf>
    <xf borderId="11" fillId="17" fontId="65" numFmtId="0" xfId="0" applyAlignment="1" applyBorder="1" applyFont="1">
      <alignment horizontal="left" shrinkToFit="0" vertical="center" wrapText="1"/>
    </xf>
    <xf borderId="11" fillId="16" fontId="65" numFmtId="0" xfId="0" applyAlignment="1" applyBorder="1" applyFont="1">
      <alignment horizontal="left" shrinkToFit="0" vertical="center" wrapText="1"/>
    </xf>
    <xf borderId="11" fillId="29" fontId="66" numFmtId="0" xfId="0" applyAlignment="1" applyBorder="1" applyFill="1" applyFont="1">
      <alignment shrinkToFit="0" wrapText="1"/>
    </xf>
    <xf borderId="11" fillId="29" fontId="46" numFmtId="0" xfId="0" applyAlignment="1" applyBorder="1" applyFont="1">
      <alignment horizontal="center" shrinkToFit="0" wrapText="1"/>
    </xf>
    <xf borderId="11" fillId="29" fontId="47" numFmtId="164" xfId="0" applyAlignment="1" applyBorder="1" applyFont="1" applyNumberFormat="1">
      <alignment horizontal="center" shrinkToFit="0" wrapText="1"/>
    </xf>
    <xf borderId="0" fillId="29" fontId="47" numFmtId="49" xfId="0" applyAlignment="1" applyFont="1" applyNumberFormat="1">
      <alignment horizontal="center" shrinkToFit="0" wrapText="1"/>
    </xf>
    <xf borderId="20" fillId="30" fontId="44" numFmtId="0" xfId="0" applyAlignment="1" applyBorder="1" applyFill="1" applyFont="1">
      <alignment horizontal="left" shrinkToFit="0" vertical="center" wrapText="1"/>
    </xf>
    <xf borderId="0" fillId="22" fontId="47" numFmtId="49" xfId="0" applyAlignment="1" applyFont="1" applyNumberFormat="1">
      <alignment horizontal="center" shrinkToFit="0" wrapText="1"/>
    </xf>
    <xf borderId="11" fillId="30" fontId="44" numFmtId="0" xfId="0" applyAlignment="1" applyBorder="1" applyFont="1">
      <alignment horizontal="center" shrinkToFit="0" vertical="center" wrapText="1"/>
    </xf>
    <xf borderId="11" fillId="31" fontId="67" numFmtId="0" xfId="0" applyAlignment="1" applyBorder="1" applyFill="1" applyFont="1">
      <alignment horizontal="left" shrinkToFit="0" vertical="center" wrapText="1"/>
    </xf>
    <xf borderId="11" fillId="16" fontId="68" numFmtId="0" xfId="0" applyAlignment="1" applyBorder="1" applyFont="1">
      <alignment shrinkToFit="0" wrapText="1"/>
    </xf>
    <xf borderId="11" fillId="31" fontId="51" numFmtId="0" xfId="0" applyAlignment="1" applyBorder="1" applyFont="1">
      <alignment horizontal="left" shrinkToFit="0" vertical="center" wrapText="1"/>
    </xf>
    <xf borderId="11" fillId="31" fontId="52" numFmtId="0" xfId="0" applyAlignment="1" applyBorder="1" applyFont="1">
      <alignment horizontal="left" shrinkToFit="0" vertical="top" wrapText="1"/>
    </xf>
    <xf borderId="11" fillId="27" fontId="64" numFmtId="0" xfId="0" applyAlignment="1" applyBorder="1" applyFont="1">
      <alignment shrinkToFit="0" wrapText="1"/>
    </xf>
    <xf borderId="11" fillId="16" fontId="67" numFmtId="0" xfId="0" applyAlignment="1" applyBorder="1" applyFont="1">
      <alignment horizontal="left" shrinkToFit="0" vertical="center" wrapText="1"/>
    </xf>
    <xf borderId="20" fillId="32" fontId="44" numFmtId="0" xfId="0" applyAlignment="1" applyBorder="1" applyFill="1" applyFont="1">
      <alignment horizontal="left" shrinkToFit="0" vertical="center" wrapText="1"/>
    </xf>
    <xf borderId="11" fillId="32" fontId="44" numFmtId="0" xfId="0" applyAlignment="1" applyBorder="1" applyFont="1">
      <alignment horizontal="center" shrinkToFit="0" vertical="center" wrapText="1"/>
    </xf>
    <xf borderId="11" fillId="19" fontId="69" numFmtId="0" xfId="0" applyAlignment="1" applyBorder="1" applyFont="1">
      <alignment horizontal="left" shrinkToFit="0" vertical="center" wrapText="1"/>
    </xf>
    <xf borderId="11" fillId="16" fontId="70" numFmtId="0" xfId="0" applyAlignment="1" applyBorder="1" applyFont="1">
      <alignment shrinkToFit="0" wrapText="1"/>
    </xf>
    <xf borderId="11" fillId="33" fontId="51" numFmtId="0" xfId="0" applyAlignment="1" applyBorder="1" applyFill="1" applyFont="1">
      <alignment horizontal="left" shrinkToFit="0" vertical="center" wrapText="1"/>
    </xf>
    <xf borderId="11" fillId="19" fontId="52" numFmtId="0" xfId="0" applyAlignment="1" applyBorder="1" applyFont="1">
      <alignment horizontal="left" shrinkToFit="0" vertical="top" wrapText="1"/>
    </xf>
    <xf borderId="11" fillId="34" fontId="70" numFmtId="0" xfId="0" applyAlignment="1" applyBorder="1" applyFill="1" applyFont="1">
      <alignment shrinkToFit="0" wrapText="1"/>
    </xf>
    <xf borderId="11" fillId="16" fontId="69" numFmtId="0" xfId="0" applyAlignment="1" applyBorder="1" applyFont="1">
      <alignment horizontal="left" shrinkToFit="0" vertical="center" wrapText="1"/>
    </xf>
    <xf borderId="11" fillId="34" fontId="46" numFmtId="0" xfId="0" applyAlignment="1" applyBorder="1" applyFont="1">
      <alignment horizontal="center" shrinkToFit="0" wrapText="1"/>
    </xf>
    <xf borderId="0" fillId="0" fontId="13" numFmtId="0" xfId="0" applyAlignment="1" applyFont="1">
      <alignment readingOrder="0" shrinkToFit="0" wrapText="1"/>
    </xf>
    <xf borderId="11" fillId="34" fontId="47" numFmtId="164" xfId="0" applyAlignment="1" applyBorder="1" applyFont="1" applyNumberFormat="1">
      <alignment horizontal="center" shrinkToFit="0" wrapText="1"/>
    </xf>
    <xf borderId="0" fillId="34" fontId="47" numFmtId="49" xfId="0" applyAlignment="1" applyFont="1" applyNumberFormat="1">
      <alignment horizontal="center" shrinkToFit="0" wrapText="1"/>
    </xf>
    <xf borderId="11" fillId="19" fontId="51" numFmtId="0" xfId="0" applyAlignment="1" applyBorder="1" applyFont="1">
      <alignment horizontal="left" shrinkToFit="0" vertical="center" wrapText="1"/>
    </xf>
    <xf borderId="11" fillId="16" fontId="56" numFmtId="0" xfId="0" applyAlignment="1" applyBorder="1" applyFont="1">
      <alignment shrinkToFit="0" wrapText="1"/>
    </xf>
    <xf borderId="11" fillId="31" fontId="68" numFmtId="0" xfId="0" applyAlignment="1" applyBorder="1" applyFont="1">
      <alignment shrinkToFit="0" wrapText="1"/>
    </xf>
    <xf borderId="11" fillId="31" fontId="46" numFmtId="0" xfId="0" applyAlignment="1" applyBorder="1" applyFont="1">
      <alignment horizontal="center" shrinkToFit="0" wrapText="1"/>
    </xf>
    <xf borderId="11" fillId="31" fontId="47" numFmtId="164" xfId="0" applyAlignment="1" applyBorder="1" applyFont="1" applyNumberFormat="1">
      <alignment horizontal="center" shrinkToFit="0" wrapText="1"/>
    </xf>
    <xf borderId="0" fillId="31" fontId="47" numFmtId="49" xfId="0" applyAlignment="1" applyFont="1" applyNumberFormat="1">
      <alignment horizontal="center" shrinkToFit="0" wrapText="1"/>
    </xf>
    <xf borderId="11" fillId="16" fontId="66" numFmtId="0" xfId="0" applyAlignment="1" applyBorder="1" applyFont="1">
      <alignment shrinkToFit="0" wrapText="1"/>
    </xf>
    <xf borderId="20" fillId="35" fontId="44" numFmtId="0" xfId="0" applyAlignment="1" applyBorder="1" applyFill="1" applyFont="1">
      <alignment horizontal="left" shrinkToFit="0" vertical="center" wrapText="1"/>
    </xf>
    <xf borderId="11" fillId="0" fontId="12" numFmtId="0" xfId="0" applyBorder="1" applyFont="1"/>
    <xf borderId="11" fillId="35" fontId="44" numFmtId="0" xfId="0" applyAlignment="1" applyBorder="1" applyFont="1">
      <alignment horizontal="center" shrinkToFit="0" vertical="center" wrapText="1"/>
    </xf>
    <xf borderId="11" fillId="36" fontId="45" numFmtId="0" xfId="0" applyAlignment="1" applyBorder="1" applyFill="1" applyFont="1">
      <alignment shrinkToFit="0" wrapText="1"/>
    </xf>
    <xf borderId="11" fillId="22" fontId="71" numFmtId="0" xfId="0" applyAlignment="1" applyBorder="1" applyFont="1">
      <alignment horizontal="left" shrinkToFit="0" vertical="center" wrapText="1"/>
    </xf>
    <xf borderId="11" fillId="22" fontId="51" numFmtId="0" xfId="0" applyAlignment="1" applyBorder="1" applyFont="1">
      <alignment horizontal="left" shrinkToFit="0" vertical="center" wrapText="1"/>
    </xf>
    <xf borderId="11" fillId="22" fontId="52" numFmtId="0" xfId="0" applyAlignment="1" applyBorder="1" applyFont="1">
      <alignment horizontal="left" shrinkToFit="0" vertical="top" wrapText="1"/>
    </xf>
    <xf borderId="11" fillId="16" fontId="71" numFmtId="0" xfId="0" applyAlignment="1" applyBorder="1" applyFont="1">
      <alignment horizontal="left" shrinkToFit="0" vertical="center" wrapText="1"/>
    </xf>
    <xf borderId="11" fillId="0" fontId="51" numFmtId="0" xfId="0" applyAlignment="1" applyBorder="1" applyFont="1">
      <alignment horizontal="left" shrinkToFit="0" vertical="center" wrapText="1"/>
    </xf>
    <xf borderId="11" fillId="36" fontId="45" numFmtId="0" xfId="0" applyAlignment="1" applyBorder="1" applyFont="1">
      <alignment horizontal="center" shrinkToFit="0" wrapText="1"/>
    </xf>
    <xf borderId="20" fillId="37" fontId="44" numFmtId="0" xfId="0" applyAlignment="1" applyBorder="1" applyFill="1" applyFont="1">
      <alignment horizontal="left" shrinkToFit="0" vertical="center" wrapText="1"/>
    </xf>
    <xf borderId="11" fillId="36" fontId="45" numFmtId="164" xfId="0" applyAlignment="1" applyBorder="1" applyFont="1" applyNumberFormat="1">
      <alignment horizontal="center" shrinkToFit="0" wrapText="1"/>
    </xf>
    <xf borderId="11" fillId="37" fontId="44" numFmtId="0" xfId="0" applyAlignment="1" applyBorder="1" applyFont="1">
      <alignment horizontal="center" shrinkToFit="0" vertical="center" wrapText="1"/>
    </xf>
    <xf borderId="0" fillId="36" fontId="45" numFmtId="49" xfId="0" applyAlignment="1" applyFont="1" applyNumberFormat="1">
      <alignment horizontal="center" shrinkToFit="0" wrapText="1"/>
    </xf>
    <xf borderId="11" fillId="23" fontId="72" numFmtId="0" xfId="0" applyAlignment="1" applyBorder="1" applyFont="1">
      <alignment horizontal="left" shrinkToFit="0" vertical="center" wrapText="1"/>
    </xf>
    <xf borderId="0" fillId="0" fontId="12" numFmtId="0" xfId="0" applyAlignment="1" applyFont="1">
      <alignment vertical="bottom"/>
    </xf>
    <xf borderId="11" fillId="23" fontId="51" numFmtId="0" xfId="0" applyAlignment="1" applyBorder="1" applyFont="1">
      <alignment horizontal="left" shrinkToFit="0" vertical="center" wrapText="1"/>
    </xf>
    <xf borderId="0" fillId="0" fontId="5" numFmtId="0" xfId="0" applyAlignment="1" applyFont="1">
      <alignment vertical="bottom"/>
    </xf>
    <xf borderId="0" fillId="0" fontId="5" numFmtId="49" xfId="0" applyAlignment="1" applyFont="1" applyNumberFormat="1">
      <alignment vertical="bottom"/>
    </xf>
    <xf borderId="11" fillId="23" fontId="52" numFmtId="0" xfId="0" applyAlignment="1" applyBorder="1" applyFont="1">
      <alignment horizontal="left" shrinkToFit="0" vertical="top" wrapText="1"/>
    </xf>
    <xf borderId="0" fillId="0" fontId="5" numFmtId="0" xfId="0" applyAlignment="1" applyFont="1">
      <alignment shrinkToFit="0" vertical="bottom" wrapText="1"/>
    </xf>
    <xf borderId="11" fillId="16" fontId="72" numFmtId="0" xfId="0" applyAlignment="1" applyBorder="1" applyFont="1">
      <alignment horizontal="left" shrinkToFit="0" vertical="center" wrapText="1"/>
    </xf>
    <xf borderId="20" fillId="38" fontId="44" numFmtId="0" xfId="0" applyAlignment="1" applyBorder="1" applyFill="1" applyFont="1">
      <alignment horizontal="left" shrinkToFit="0" vertical="center" wrapText="1"/>
    </xf>
    <xf borderId="11" fillId="38" fontId="44" numFmtId="0" xfId="0" applyAlignment="1" applyBorder="1" applyFont="1">
      <alignment horizontal="center" shrinkToFit="0" vertical="center" wrapText="1"/>
    </xf>
    <xf borderId="11" fillId="39" fontId="73" numFmtId="0" xfId="0" applyAlignment="1" applyBorder="1" applyFill="1" applyFont="1">
      <alignment horizontal="left" shrinkToFit="0" vertical="center" wrapText="1"/>
    </xf>
    <xf borderId="11" fillId="39" fontId="51" numFmtId="0" xfId="0" applyAlignment="1" applyBorder="1" applyFont="1">
      <alignment horizontal="left" shrinkToFit="0" vertical="center" wrapText="1"/>
    </xf>
    <xf borderId="11" fillId="39" fontId="52" numFmtId="0" xfId="0" applyAlignment="1" applyBorder="1" applyFont="1">
      <alignment horizontal="left" shrinkToFit="0" vertical="top" wrapText="1"/>
    </xf>
    <xf borderId="11" fillId="16" fontId="73" numFmtId="0" xfId="0" applyAlignment="1" applyBorder="1" applyFont="1">
      <alignment horizontal="left" shrinkToFit="0" vertical="center" wrapText="1"/>
    </xf>
    <xf borderId="20" fillId="40" fontId="44" numFmtId="0" xfId="0" applyAlignment="1" applyBorder="1" applyFill="1" applyFont="1">
      <alignment horizontal="left" shrinkToFit="0" vertical="center" wrapText="1"/>
    </xf>
    <xf borderId="11" fillId="40" fontId="44" numFmtId="0" xfId="0" applyAlignment="1" applyBorder="1" applyFont="1">
      <alignment horizontal="center" shrinkToFit="0" vertical="center" wrapText="1"/>
    </xf>
    <xf borderId="11" fillId="27" fontId="74" numFmtId="0" xfId="0" applyAlignment="1" applyBorder="1" applyFont="1">
      <alignment horizontal="left" shrinkToFit="0" vertical="center" wrapText="1"/>
    </xf>
    <xf borderId="11" fillId="27" fontId="51" numFmtId="0" xfId="0" applyAlignment="1" applyBorder="1" applyFont="1">
      <alignment horizontal="left" shrinkToFit="0" vertical="center" wrapText="1"/>
    </xf>
    <xf borderId="11" fillId="27" fontId="52" numFmtId="0" xfId="0" applyAlignment="1" applyBorder="1" applyFont="1">
      <alignment horizontal="left" shrinkToFit="0" vertical="top" wrapText="1"/>
    </xf>
    <xf borderId="11" fillId="16" fontId="74" numFmtId="0" xfId="0" applyAlignment="1" applyBorder="1" applyFont="1">
      <alignment horizontal="left" shrinkToFit="0" vertical="center" wrapText="1"/>
    </xf>
    <xf borderId="20" fillId="41" fontId="44" numFmtId="0" xfId="0" applyAlignment="1" applyBorder="1" applyFill="1" applyFont="1">
      <alignment horizontal="left" shrinkToFit="0" vertical="center" wrapText="1"/>
    </xf>
    <xf borderId="11" fillId="41" fontId="44" numFmtId="0" xfId="0" applyAlignment="1" applyBorder="1" applyFont="1">
      <alignment horizontal="center" shrinkToFit="0" vertical="center" wrapText="1"/>
    </xf>
    <xf borderId="11" fillId="16" fontId="75" numFmtId="0" xfId="0" applyAlignment="1" applyBorder="1" applyFont="1">
      <alignment horizontal="left" shrinkToFit="0" vertical="center" wrapText="1"/>
    </xf>
    <xf borderId="11" fillId="25" fontId="75" numFmtId="0" xfId="0" applyAlignment="1" applyBorder="1" applyFont="1">
      <alignment horizontal="left" shrinkToFit="0" vertical="center" wrapText="1"/>
    </xf>
    <xf borderId="11" fillId="25" fontId="51" numFmtId="0" xfId="0" applyAlignment="1" applyBorder="1" applyFont="1">
      <alignment horizontal="left" shrinkToFit="0" vertical="center" wrapText="1"/>
    </xf>
    <xf borderId="11" fillId="25" fontId="52" numFmtId="0" xfId="0" applyAlignment="1" applyBorder="1" applyFont="1">
      <alignment horizontal="left" shrinkToFit="0" vertical="top" wrapText="1"/>
    </xf>
    <xf borderId="20" fillId="42" fontId="44" numFmtId="0" xfId="0" applyAlignment="1" applyBorder="1" applyFill="1" applyFont="1">
      <alignment horizontal="left" shrinkToFit="0" vertical="center" wrapText="1"/>
    </xf>
    <xf borderId="11" fillId="42" fontId="44" numFmtId="0" xfId="0" applyAlignment="1" applyBorder="1" applyFont="1">
      <alignment horizontal="center" shrinkToFit="0" vertical="center" wrapText="1"/>
    </xf>
    <xf borderId="11" fillId="16" fontId="76" numFmtId="0" xfId="0" applyAlignment="1" applyBorder="1" applyFont="1">
      <alignment horizontal="left" shrinkToFit="0" vertical="center" wrapText="1"/>
    </xf>
    <xf borderId="11" fillId="29" fontId="76" numFmtId="0" xfId="0" applyAlignment="1" applyBorder="1" applyFont="1">
      <alignment horizontal="left" shrinkToFit="0" vertical="center" wrapText="1"/>
    </xf>
    <xf borderId="11" fillId="29" fontId="51" numFmtId="0" xfId="0" applyAlignment="1" applyBorder="1" applyFont="1">
      <alignment horizontal="left" shrinkToFit="0" vertical="center" wrapText="1"/>
    </xf>
    <xf borderId="11" fillId="29" fontId="52" numFmtId="0" xfId="0" applyAlignment="1" applyBorder="1" applyFont="1">
      <alignment horizontal="left" shrinkToFit="0" vertical="top" wrapText="1"/>
    </xf>
    <xf borderId="20" fillId="43" fontId="44" numFmtId="0" xfId="0" applyAlignment="1" applyBorder="1" applyFill="1" applyFont="1">
      <alignment horizontal="left" shrinkToFit="0" vertical="center" wrapText="1"/>
    </xf>
    <xf borderId="11" fillId="43" fontId="44" numFmtId="0" xfId="0" applyAlignment="1" applyBorder="1" applyFont="1">
      <alignment horizontal="center" shrinkToFit="0" vertical="center" wrapText="1"/>
    </xf>
    <xf borderId="11" fillId="34" fontId="77" numFmtId="0" xfId="0" applyAlignment="1" applyBorder="1" applyFont="1">
      <alignment horizontal="left" shrinkToFit="0" vertical="center" wrapText="1"/>
    </xf>
    <xf borderId="11" fillId="34" fontId="51" numFmtId="0" xfId="0" applyAlignment="1" applyBorder="1" applyFont="1">
      <alignment horizontal="left" shrinkToFit="0" vertical="center" wrapText="1"/>
    </xf>
    <xf borderId="11" fillId="34" fontId="52" numFmtId="0" xfId="0" applyAlignment="1" applyBorder="1" applyFont="1">
      <alignment horizontal="left" shrinkToFit="0" vertical="top" wrapText="1"/>
    </xf>
    <xf borderId="11" fillId="16" fontId="77" numFmtId="0" xfId="0" applyAlignment="1" applyBorder="1" applyFont="1">
      <alignment horizontal="left" shrinkToFit="0" vertical="center" wrapText="1"/>
    </xf>
    <xf borderId="0" fillId="0" fontId="78" numFmtId="0" xfId="0" applyAlignment="1" applyFont="1">
      <alignment readingOrder="0" vertical="bottom"/>
    </xf>
    <xf borderId="0" fillId="0" fontId="78" numFmtId="0" xfId="0" applyAlignment="1" applyFont="1">
      <alignment vertical="bottom"/>
    </xf>
    <xf borderId="0" fillId="0" fontId="79" numFmtId="0" xfId="0" applyAlignment="1" applyFont="1">
      <alignment readingOrder="0" vertical="bottom"/>
    </xf>
    <xf borderId="0" fillId="0" fontId="79" numFmtId="0" xfId="0" applyAlignment="1" applyFont="1">
      <alignment vertical="bottom"/>
    </xf>
    <xf borderId="23" fillId="44" fontId="80" numFmtId="0" xfId="0" applyAlignment="1" applyBorder="1" applyFill="1" applyFont="1">
      <alignment readingOrder="0" vertical="bottom"/>
    </xf>
    <xf borderId="23" fillId="44" fontId="81" numFmtId="0" xfId="0" applyAlignment="1" applyBorder="1" applyFont="1">
      <alignment horizontal="right" readingOrder="0" vertical="bottom"/>
    </xf>
    <xf borderId="23" fillId="15" fontId="44" numFmtId="0" xfId="0" applyAlignment="1" applyBorder="1" applyFont="1">
      <alignment horizontal="center" readingOrder="0" shrinkToFit="0" wrapText="1"/>
    </xf>
    <xf borderId="0" fillId="0" fontId="82" numFmtId="0" xfId="0" applyAlignment="1" applyFont="1">
      <alignment shrinkToFit="0" vertical="bottom" wrapText="1"/>
    </xf>
    <xf borderId="24" fillId="0" fontId="83" numFmtId="0" xfId="0" applyAlignment="1" applyBorder="1" applyFont="1">
      <alignment readingOrder="0" vertical="bottom"/>
    </xf>
    <xf borderId="24" fillId="0" fontId="84" numFmtId="0" xfId="0" applyBorder="1" applyFont="1"/>
    <xf borderId="20" fillId="45" fontId="44" numFmtId="0" xfId="0" applyAlignment="1" applyBorder="1" applyFill="1" applyFont="1">
      <alignment horizontal="left" shrinkToFit="0" vertical="center" wrapText="1"/>
    </xf>
    <xf borderId="24" fillId="33" fontId="84" numFmtId="0" xfId="0" applyBorder="1" applyFont="1"/>
    <xf borderId="11" fillId="45" fontId="44" numFmtId="0" xfId="0" applyAlignment="1" applyBorder="1" applyFont="1">
      <alignment horizontal="center" shrinkToFit="0" vertical="center" wrapText="1"/>
    </xf>
    <xf borderId="11" fillId="16" fontId="85" numFmtId="0" xfId="0" applyAlignment="1" applyBorder="1" applyFont="1">
      <alignment horizontal="left" shrinkToFit="0" vertical="center" wrapText="1"/>
    </xf>
    <xf borderId="11" fillId="34" fontId="85" numFmtId="0" xfId="0" applyAlignment="1" applyBorder="1" applyFont="1">
      <alignment horizontal="left" shrinkToFit="0" vertical="center" wrapText="1"/>
    </xf>
    <xf borderId="0" fillId="0" fontId="86" numFmtId="0" xfId="0" applyFont="1"/>
    <xf borderId="0" fillId="0" fontId="87" numFmtId="0" xfId="0" applyAlignment="1" applyFont="1">
      <alignment horizontal="center" shrinkToFit="0" vertical="center" wrapText="1"/>
    </xf>
    <xf borderId="24" fillId="0" fontId="83" numFmtId="9" xfId="0" applyAlignment="1" applyBorder="1" applyFont="1" applyNumberFormat="1">
      <alignment horizontal="right" readingOrder="0" vertical="bottom"/>
    </xf>
    <xf borderId="0" fillId="0" fontId="28" numFmtId="0" xfId="0" applyAlignment="1" applyFont="1">
      <alignment horizontal="center" readingOrder="0" vertical="center"/>
    </xf>
    <xf borderId="0" fillId="15" fontId="10" numFmtId="0" xfId="0" applyAlignment="1" applyFont="1">
      <alignment horizontal="center" readingOrder="0" vertical="center"/>
    </xf>
    <xf borderId="0" fillId="15" fontId="10" numFmtId="0" xfId="0" applyAlignment="1" applyFont="1">
      <alignment horizontal="center" readingOrder="0" shrinkToFit="0" vertical="center" wrapText="1"/>
    </xf>
    <xf borderId="1" fillId="2" fontId="28" numFmtId="0" xfId="0" applyAlignment="1" applyBorder="1" applyFont="1">
      <alignment horizontal="center" readingOrder="0" vertical="center"/>
    </xf>
    <xf borderId="1" fillId="2" fontId="3" numFmtId="0" xfId="0" applyAlignment="1" applyBorder="1" applyFont="1">
      <alignment horizontal="center" readingOrder="0" shrinkToFit="0" vertical="center" wrapText="1"/>
    </xf>
    <xf borderId="1" fillId="2" fontId="28" numFmtId="0" xfId="0" applyAlignment="1" applyBorder="1" applyFont="1">
      <alignment horizontal="center" vertical="center"/>
    </xf>
    <xf borderId="1" fillId="0" fontId="5" numFmtId="0" xfId="0" applyAlignment="1" applyBorder="1" applyFont="1">
      <alignment readingOrder="0" vertical="center"/>
    </xf>
    <xf borderId="1" fillId="0" fontId="5" numFmtId="0" xfId="0" applyAlignment="1" applyBorder="1" applyFont="1">
      <alignment vertical="center"/>
    </xf>
    <xf borderId="1" fillId="0" fontId="88" numFmtId="0" xfId="0" applyAlignment="1" applyBorder="1" applyFont="1">
      <alignment readingOrder="0" shrinkToFit="0" vertical="center" wrapText="1"/>
    </xf>
    <xf borderId="0" fillId="0" fontId="89" numFmtId="0" xfId="0" applyAlignment="1" applyFont="1">
      <alignment readingOrder="0"/>
    </xf>
    <xf borderId="0" fillId="15" fontId="44" numFmtId="0" xfId="0" applyAlignment="1" applyFont="1">
      <alignment horizontal="center" readingOrder="0"/>
    </xf>
    <xf borderId="0" fillId="6" fontId="90" numFmtId="0" xfId="0" applyAlignment="1" applyFont="1">
      <alignment readingOrder="0"/>
    </xf>
    <xf borderId="0" fillId="6" fontId="90" numFmtId="0" xfId="0" applyAlignment="1" applyFont="1">
      <alignment readingOrder="0" shrinkToFit="0" wrapText="1"/>
    </xf>
    <xf borderId="0" fillId="0" fontId="90" numFmtId="0" xfId="0" applyAlignment="1" applyFont="1">
      <alignment readingOrder="0"/>
    </xf>
    <xf borderId="0" fillId="0" fontId="9" numFmtId="0" xfId="0" applyAlignment="1" applyFont="1">
      <alignment readingOrder="0" shrinkToFit="0" wrapText="1"/>
    </xf>
    <xf borderId="0" fillId="0" fontId="90" numFmtId="0" xfId="0" applyFont="1"/>
    <xf borderId="11" fillId="0" fontId="52" numFmtId="0" xfId="0" applyAlignment="1" applyBorder="1" applyFont="1">
      <alignment horizontal="left" shrinkToFit="0" vertical="top" wrapText="1"/>
    </xf>
    <xf borderId="0" fillId="0" fontId="83" numFmtId="0" xfId="0" applyAlignment="1" applyFont="1">
      <alignment vertical="bottom"/>
    </xf>
    <xf borderId="0" fillId="6" fontId="91" numFmtId="0" xfId="0" applyAlignment="1" applyFont="1">
      <alignment readingOrder="0" vertical="bottom"/>
    </xf>
    <xf borderId="0" fillId="6" fontId="83" numFmtId="0" xfId="0" applyAlignment="1" applyFont="1">
      <alignment vertical="bottom"/>
    </xf>
    <xf borderId="12" fillId="0" fontId="83" numFmtId="0" xfId="0" applyAlignment="1" applyBorder="1" applyFont="1">
      <alignment vertical="bottom"/>
    </xf>
    <xf borderId="23" fillId="44" fontId="91" numFmtId="0" xfId="0" applyAlignment="1" applyBorder="1" applyFont="1">
      <alignment readingOrder="0" vertical="bottom"/>
    </xf>
    <xf borderId="23" fillId="44" fontId="91" numFmtId="0" xfId="0" applyAlignment="1" applyBorder="1" applyFont="1">
      <alignment horizontal="right" readingOrder="0" vertical="bottom"/>
    </xf>
    <xf borderId="23" fillId="44" fontId="91" numFmtId="9" xfId="0" applyAlignment="1" applyBorder="1" applyFont="1" applyNumberFormat="1">
      <alignment horizontal="right" readingOrder="0" vertical="bottom"/>
    </xf>
    <xf borderId="0" fillId="0" fontId="80" numFmtId="0" xfId="0" applyAlignment="1" applyFont="1">
      <alignment readingOrder="0" vertical="bottom"/>
    </xf>
    <xf borderId="0" fillId="0" fontId="92" numFmtId="0" xfId="0" applyAlignment="1" applyFont="1">
      <alignment readingOrder="0" vertical="bottom"/>
    </xf>
    <xf borderId="0" fillId="0" fontId="92" numFmtId="0" xfId="0" applyAlignment="1" applyFont="1">
      <alignment horizontal="right" readingOrder="0" vertical="bottom"/>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Count</a:t>
            </a:r>
          </a:p>
        </c:rich>
      </c:tx>
      <c:overlay val="0"/>
    </c:title>
    <c:view3D>
      <c:rotX val="50"/>
      <c:perspective val="0"/>
    </c:view3D>
    <c:plotArea>
      <c:layout/>
      <c:pie3DChart>
        <c:varyColors val="1"/>
        <c:ser>
          <c:idx val="0"/>
          <c:order val="0"/>
          <c:tx>
            <c:strRef>
              <c:f>'Ed admin Summary'!$B$30</c:f>
            </c:strRef>
          </c:tx>
          <c:dPt>
            <c:idx val="0"/>
            <c:spPr>
              <a:solidFill>
                <a:srgbClr val="4285F4"/>
              </a:solidFill>
            </c:spPr>
          </c:dPt>
          <c:dPt>
            <c:idx val="1"/>
            <c:spPr>
              <a:solidFill>
                <a:srgbClr val="EA4335"/>
              </a:solidFill>
            </c:spPr>
          </c:dPt>
          <c:dPt>
            <c:idx val="2"/>
            <c:spPr>
              <a:solidFill>
                <a:srgbClr val="FBBC04"/>
              </a:solidFill>
            </c:spPr>
          </c:dPt>
          <c:dLbls>
            <c:showLegendKey val="0"/>
            <c:showVal val="0"/>
            <c:showCatName val="0"/>
            <c:showSerName val="0"/>
            <c:showPercent val="0"/>
            <c:showBubbleSize val="0"/>
            <c:showLeaderLines val="1"/>
          </c:dLbls>
          <c:cat>
            <c:strRef>
              <c:f>'Ed admin Summary'!$A$31:$A$33</c:f>
            </c:strRef>
          </c:cat>
          <c:val>
            <c:numRef>
              <c:f>'Ed admin Summary'!$B$31:$B$33</c:f>
              <c:numCache/>
            </c:numRef>
          </c:val>
        </c:ser>
        <c:dLbls>
          <c:showLegendKey val="0"/>
          <c:showVal val="0"/>
          <c:showCatName val="0"/>
          <c:showSerName val="0"/>
          <c:showPercent val="0"/>
          <c:showBubbleSize val="0"/>
        </c:dLbls>
      </c:pie3DChart>
    </c:plotArea>
    <c:legend>
      <c:legendPos val="r"/>
      <c:overlay val="0"/>
      <c:txPr>
        <a:bodyPr/>
        <a:lstStyle/>
        <a:p>
          <a:pPr lvl="0">
            <a:defRPr b="0">
              <a:solidFill>
                <a:srgbClr val="1A1A1A"/>
              </a:solidFill>
              <a:latin typeface="+mn-lt"/>
            </a:defRPr>
          </a:pPr>
        </a:p>
      </c:txPr>
    </c:legend>
    <c:plotVisOnly val="1"/>
  </c:chart>
</c:chartSpace>
</file>

<file path=xl/documenttasks/documenttask1.xml><?xml version="1.0" encoding="utf-8"?>
<Tasks xmlns="http://schemas.microsoft.com/office/tasks/2019/documenttasks"/>
</file>

<file path=xl/documenttasks/documenttask2.xml><?xml version="1.0" encoding="utf-8"?>
<Tasks xmlns="http://schemas.microsoft.com/office/tasks/2019/documenttasks">
  <Task id="{86ed009e-e0be-41e9-b9ab-dd9e0491f1f8}">
    <Anchor>
      <Comment id="{f1e2f713-33e0-4783-989e-7d2ea15f8484}"/>
    </Anchor>
    <History>
      <Event time="2026-03-25T10:30:09.00" id="{a71d1c4b-b7b3-4bab-860c-3320268fc01b}">
        <Attribution userId="placeholder@email.com" userName="Ludwigy Bwana" userProvider="google-sheets"/>
        <Anchor>
          <Comment id="{96df49db-8cd2-431c-b305-4e1fbead3211}"/>
        </Anchor>
        <Create/>
      </Event>
      <Event time="2026-03-25T10:30:09.00" id="{3a26558d-5acd-4882-a69b-46d57c03d62d}">
        <Attribution userId="placeholder@email.com" userName="Ludwigy Bwana" userProvider="google-sheets"/>
        <Anchor>
          <Comment id="{96df49db-8cd2-431c-b305-4e1fbead3211}"/>
        </Anchor>
        <Assign userId="julius@silverleaf.co.tz" userName="julius@silverleaf.co.tz" userProvider="google-sheets"/>
      </Event>
    </History>
  </Task>
</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rawings/_rels/drawing14.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38100</xdr:colOff>
      <xdr:row>28</xdr:row>
      <xdr:rowOff>38100</xdr:rowOff>
    </xdr:from>
    <xdr:ext cx="3829050" cy="194310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julius@silverleaf.co.tz" id="{66babd77-dd90-4a4c-9165-bbaacd388ccb}" userId="julius@silverleaf.co.tz" providerId="google-sheets"/>
  <x18tc:person displayName="Max Maendler" id="{2af15db7-c16c-40dc-992e-5459c6c37281}" providerId="google-sheets"/>
  <x18tc:person displayName="ludwigy@silverleaf.co.tz" id="{0e1353c7-ee2a-4fc6-9547-dac0da0ee398}" userId="ludwigy@silverleaf.co.tz" providerId="google-sheets"/>
  <x18tc:person displayName="data@silverleaf.co.tz" id="{ff70335f-edf1-42e7-8fa4-f60febc73625}" userId="data@silverleaf.co.tz" providerId="google-sheets"/>
  <x18tc:person displayName="Ludwigy Bwana" id="{f299bde6-c558-45d0-8782-9622d5a89b9d}" providerId="google-sheets"/>
  <x18tc:person displayName="it@silverleaf.co.tz" id="{d2769769-3fb8-4947-bb93-eb92affe5f6c}" userId="it@silverleaf.co.tz" providerId="google-sheets"/>
  <x18tc:person displayName="Mark Moriama" id="{c208225f-df98-45d6-a36c-771769124931}" providerId="google-sheets"/>
  <x18tc:person displayName="Krupa Patel" id="{24c501ad-669b-4046-8e3a-f130079b5474}"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6" dT="2026-06-08T08:14:26.00" personId="{2af15db7-c16c-40dc-992e-5459c6c37281}" id="{e4342f38-94b5-4ec0-a1ba-0324fe50609c}" done="1">
    <x18tc:text xml:space="preserve">Baraka / Nelly</x18tc:text>
  </x18tc:threadedComment>
  <x18tc:threadedComment ref="D4" dT="2026-06-08T08:14:02.00" personId="{2af15db7-c16c-40dc-992e-5459c6c37281}" id="{ced06665-749f-4302-b0cf-4b051c649dcb}" done="1">
    <x18tc:text xml:space="preserve">Dan / Lilian</x18tc:text>
  </x18tc:threadedComment>
  <x18tc:threadedComment ref="D5" dT="2026-06-08T08:14:13.00" personId="{2af15db7-c16c-40dc-992e-5459c6c37281}" id="{2df85dfa-d3b9-45ce-92b9-26a916460b2f}" done="1">
    <x18tc:text xml:space="preserve">Nelly Ester</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4" dT="2026-03-24T18:19:30.00" personId="{c208225f-df98-45d6-a36c-771769124931}" id="{f1e2f713-33e0-4783-989e-7d2ea15f8484}" done="0">
    <x18tc:text xml:space="preserve">@ludwigy@silverleaf.co.tz Hey Ludwigy, let me know if this can help you with these workstreams https://andama.ai It has a free 9 month pilot :)
Assigned to ludwigy@silverleaf.co.tz</x18tc:text>
    <x18tc:mentions>
      <x18tc:mention mentionpersonId="{0e1353c7-ee2a-4fc6-9547-dac0da0ee398}" mentionId="{6dfff0b6-2318-41a3-86e6-ea3b086346d9}" startIndex="0" length="25"/>
    </x18tc:mentions>
    <x18tc:extLst>
      <ext uri="{F7C98A9C-CBB3-438F-8F68-D28B6AF4A901}">
        <xltc2:checksum/>
        <xltc2:hyperlink startIndex="95" length="17" url="https://andama.ai"/>
      </ext>
    </x18tc:extLst>
  </x18tc:threadedComment>
  <x18tc:threadedComment ref="B4" dT="2026-03-25T10:30:09.00" personId="{f299bde6-c558-45d0-8782-9622d5a89b9d}" id="{96df49db-8cd2-431c-b305-4e1fbead3211}" parentId="{f1e2f713-33e0-4783-989e-7d2ea15f8484}">
    <x18tc:text xml:space="preserve">@julius@silverleaf.co.tz
Reassigned to julius@silverleaf.co.tz</x18tc:text>
    <x18tc:mentions>
      <x18tc:mention mentionpersonId="{66babd77-dd90-4a4c-9165-bbaacd388ccb}" mentionId="{a742c355-3eb6-494e-8ab9-7c8526a36a4a}" startIndex="0" length="24"/>
    </x18tc:mentions>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3" dT="2026-05-03T07:50:36.00" personId="{24c501ad-669b-4046-8e3a-f130079b5474}" id="{4a2b51e8-df68-46c4-97d7-8a67a57ee0dc}" done="0">
    <x18tc:text xml:space="preserve">@it@silverleaf.co.tz @data@silverleaf.co.tz pls fill in the number of modules in use</x18tc:text>
    <x18tc:mentions>
      <x18tc:mention mentionpersonId="{d2769769-3fb8-4947-bb93-eb92affe5f6c}" mentionId="{29c60bd6-46a4-480b-8bfb-86e3a67259b8}" startIndex="0" length="20"/>
      <x18tc:mention mentionpersonId="{ff70335f-edf1-42e7-8fa4-f60febc73625}" mentionId="{06aa65ba-b8fe-452a-b951-8ff9953d2182}" startIndex="21" length="22"/>
    </x18tc:mentions>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7" dT="2026-04-30T12:21:07.00" personId="{24c501ad-669b-4046-8e3a-f130079b5474}" id="{47bb0b20-b42c-47a7-8d7e-52a1ba382837}" done="0">
    <x18tc:text xml:space="preserve">@data@silverleaf.co.tz @it@silverleaf.co.tz please ensure status column is filled</x18tc:text>
    <x18tc:mentions>
      <x18tc:mention mentionpersonId="{ff70335f-edf1-42e7-8fa4-f60febc73625}" mentionId="{adee1ce9-33cf-4b7e-9960-d3f1095e9208}" startIndex="0" length="22"/>
      <x18tc:mention mentionpersonId="{d2769769-3fb8-4947-bb93-eb92affe5f6c}" mentionId="{c5bd69c0-6ebe-4ab8-b22b-2b746c5e9f5a}" startIndex="23" length="20"/>
    </x18tc:mentions>
  </x18tc:threadedComment>
  <x18tc:threadedComment ref="F7" dT="2026-05-06T16:57:12.00" personId="{24c501ad-669b-4046-8e3a-f130079b5474}" id="{a70739f1-242a-4461-b93a-246c7902d3aa}" parentId="{47bb0b20-b42c-47a7-8d7e-52a1ba382837}">
    <x18tc:text xml:space="preserve">guys - reminder??</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hyperlink" Target="https://bit.ly/marketingSIS" TargetMode="External"/><Relationship Id="rId2" Type="http://schemas.openxmlformats.org/officeDocument/2006/relationships/hyperlink" Target="https://bit.ly/marketingSIS"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silverleafacademy.ed-space.net/login.cfm" TargetMode="External"/><Relationship Id="rId2" Type="http://schemas.openxmlformats.org/officeDocument/2006/relationships/hyperlink" Target="https://silverleafacademy.ed-space.net/login.cfm" TargetMode="External"/><Relationship Id="rId3" Type="http://schemas.openxmlformats.org/officeDocument/2006/relationships/hyperlink" Target="https://silverleafacademy.ed-space.net/login.cfm" TargetMode="External"/><Relationship Id="rId4" Type="http://schemas.openxmlformats.org/officeDocument/2006/relationships/hyperlink" Target="https://silverleafacademy.ed-space.net/login.cfm" TargetMode="External"/><Relationship Id="rId9" Type="http://schemas.openxmlformats.org/officeDocument/2006/relationships/drawing" Target="../drawings/drawing2.xml"/><Relationship Id="rId5" Type="http://schemas.openxmlformats.org/officeDocument/2006/relationships/hyperlink" Target="https://silverleafacademy.ed-space.net/login.cfm" TargetMode="External"/><Relationship Id="rId6" Type="http://schemas.openxmlformats.org/officeDocument/2006/relationships/hyperlink" Target="https://silverleafacademy.ed-space.net/login.cfm" TargetMode="External"/><Relationship Id="rId7" Type="http://schemas.openxmlformats.org/officeDocument/2006/relationships/hyperlink" Target="https://silverleafacademy.ed-space.net/login.cfm" TargetMode="External"/><Relationship Id="rId8" Type="http://schemas.openxmlformats.org/officeDocument/2006/relationships/hyperlink" Target="https://silverleafacademy.ed-space.net/login.cfm" TargetMode="Externa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3.xml"/><Relationship Id="rId5"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silverleafacademy.ed-space.net/login.cfm" TargetMode="External"/><Relationship Id="rId5" Type="http://schemas.openxmlformats.org/officeDocument/2006/relationships/hyperlink" Target="https://silverleafacademy.ed-space.net/login.cfm" TargetMode="External"/><Relationship Id="rId6" Type="http://schemas.openxmlformats.org/officeDocument/2006/relationships/drawing" Target="../drawings/drawing4.xml"/><Relationship Id="rId7"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hyperlink" Target="https://silverleafacademy.ed-space.net/login.cfm" TargetMode="External"/><Relationship Id="rId2" Type="http://schemas.openxmlformats.org/officeDocument/2006/relationships/hyperlink" Target="https://runshule.com/fees-invoice/" TargetMode="External"/><Relationship Id="rId3" Type="http://schemas.openxmlformats.org/officeDocument/2006/relationships/hyperlink" Target="https://silverleafacademy.ed-space.net/login.cfm" TargetMode="External"/><Relationship Id="rId4" Type="http://schemas.openxmlformats.org/officeDocument/2006/relationships/hyperlink" Target="https://silverleafacademy.ed-space.net/login.cfm" TargetMode="External"/><Relationship Id="rId10" Type="http://schemas.openxmlformats.org/officeDocument/2006/relationships/drawing" Target="../drawings/drawing5.xml"/><Relationship Id="rId9" Type="http://schemas.openxmlformats.org/officeDocument/2006/relationships/hyperlink" Target="https://silverleafacademy.ed-space.net/login.cfm" TargetMode="External"/><Relationship Id="rId5" Type="http://schemas.openxmlformats.org/officeDocument/2006/relationships/hyperlink" Target="https://runshule.com/fees-invoice/" TargetMode="External"/><Relationship Id="rId6" Type="http://schemas.openxmlformats.org/officeDocument/2006/relationships/hyperlink" Target="https://runshule.com/fees-invoice/" TargetMode="External"/><Relationship Id="rId7" Type="http://schemas.openxmlformats.org/officeDocument/2006/relationships/hyperlink" Target="https://silverleafacademy.ed-space.net/login.cfm" TargetMode="External"/><Relationship Id="rId8" Type="http://schemas.openxmlformats.org/officeDocument/2006/relationships/hyperlink" Target="https://runshule.com/fees-invoice/"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silverleafacademy.ed-space.net/login.cfm" TargetMode="External"/><Relationship Id="rId2" Type="http://schemas.openxmlformats.org/officeDocument/2006/relationships/hyperlink" Target="https://bit.ly/SLAadmissions" TargetMode="External"/><Relationship Id="rId3"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forms.gle/YyRfw8rDDsmnizyt9" TargetMode="External"/><Relationship Id="rId2" Type="http://schemas.openxmlformats.org/officeDocument/2006/relationships/hyperlink" Target="https://www.google.com/url?sa=j&amp;url=http%3A%2F%2Frecruitment.totalh.net%2F&amp;uct=1741076855&amp;usg=M_OgunKA3l8JajUmtIm9O8xGxOs.&amp;opi=76390225&amp;source=meet" TargetMode="External"/><Relationship Id="rId3" Type="http://schemas.openxmlformats.org/officeDocument/2006/relationships/hyperlink" Target="https://silverleafacademy.ed-space.net/login.cfm" TargetMode="External"/><Relationship Id="rId4" Type="http://schemas.openxmlformats.org/officeDocument/2006/relationships/hyperlink" Target="https://silverleafacademy.ed-space.net/login.cfm" TargetMode="External"/><Relationship Id="rId5"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silverleafacademy.ed-space.net/login.cfm"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docs.google.com/spreadsheets/d/1LMp6F7eZxh9OF4e_QNymYXBLXc4SrghbCzsvmjBEgEU/edit?gid=129223637" TargetMode="External"/><Relationship Id="rId2" Type="http://schemas.openxmlformats.org/officeDocument/2006/relationships/hyperlink" Target="https://docs.google.com/spreadsheets/d/1ofa8Gd3Dq1ekaSYojd_oCCnwHGANWQSzZf64G7lpkKI/edit?gid=0" TargetMode="External"/><Relationship Id="rId3" Type="http://schemas.openxmlformats.org/officeDocument/2006/relationships/hyperlink" Target="https://www.asctimetables.com/?gad_source=1&amp;gad_campaignid=2286854&amp;gbraid=0AAAAAD_hruqVasogxq_wB9q2XlECL5krD&amp;gclid=EAIaIQobChMIp-bH172zlAMVQYuDBx2WZjyHEAAYASAAEgKfG_D_BwE" TargetMode="External"/><Relationship Id="rId4"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docs.google.com/spreadsheets/d/1ZTX6L9YCvLraWioE3eY_wlDQE4W_OJaBsK4ztOcnrWk/edit?gid=547134598" TargetMode="Externa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11.xml"/><Relationship Id="rId5" Type="http://schemas.openxmlformats.org/officeDocument/2006/relationships/vmlDrawing" Target="../drawings/vmlDrawing3.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12.xml"/><Relationship Id="rId5" Type="http://schemas.openxmlformats.org/officeDocument/2006/relationships/vmlDrawing" Target="../drawings/vmlDrawing4.v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expansion.nexabie.co.tz/external_form.php" TargetMode="External"/><Relationship Id="rId2"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3.25"/>
    <col customWidth="1" min="2" max="2" width="20.75"/>
    <col customWidth="1" min="3" max="3" width="28.13"/>
    <col customWidth="1" min="4" max="4" width="25.88"/>
    <col customWidth="1" min="5" max="8" width="18.88"/>
    <col customWidth="1" min="9" max="9" width="21.0"/>
    <col customWidth="1" min="10" max="11" width="18.88"/>
  </cols>
  <sheetData>
    <row r="1">
      <c r="A1" s="1" t="s">
        <v>0</v>
      </c>
      <c r="B1" s="3" t="s">
        <v>3</v>
      </c>
      <c r="E1" s="1"/>
      <c r="F1" s="1"/>
      <c r="G1" s="1"/>
      <c r="H1" s="1"/>
      <c r="I1" s="1"/>
      <c r="J1" s="6"/>
      <c r="K1" s="6"/>
    </row>
    <row r="2">
      <c r="A2" s="7"/>
      <c r="B2" s="7" t="s">
        <v>13</v>
      </c>
      <c r="J2" s="6"/>
      <c r="K2" s="6"/>
    </row>
    <row r="3">
      <c r="A3" s="6"/>
      <c r="B3" s="6"/>
      <c r="C3" s="6"/>
      <c r="D3" s="6"/>
      <c r="E3" s="6"/>
      <c r="F3" s="6"/>
      <c r="G3" s="6"/>
      <c r="H3" s="6"/>
      <c r="I3" s="6"/>
      <c r="J3" s="6"/>
      <c r="K3" s="6"/>
    </row>
    <row r="4">
      <c r="A4" s="18"/>
      <c r="B4" s="18" t="s">
        <v>29</v>
      </c>
      <c r="C4" s="6"/>
      <c r="D4" s="6"/>
      <c r="E4" s="6"/>
      <c r="F4" s="6"/>
      <c r="G4" s="6"/>
      <c r="H4" s="6"/>
      <c r="I4" s="6"/>
      <c r="J4" s="6"/>
      <c r="K4" s="6"/>
    </row>
    <row r="5">
      <c r="A5" s="23"/>
      <c r="B5" s="23" t="s">
        <v>35</v>
      </c>
      <c r="J5" s="6"/>
      <c r="K5" s="6"/>
    </row>
    <row r="6">
      <c r="A6" s="6"/>
      <c r="B6" s="6"/>
      <c r="C6" s="6"/>
      <c r="D6" s="6"/>
      <c r="E6" s="6"/>
      <c r="F6" s="6"/>
      <c r="G6" s="6"/>
      <c r="H6" s="6"/>
      <c r="I6" s="6"/>
      <c r="J6" s="6"/>
      <c r="K6" s="6"/>
    </row>
    <row r="7">
      <c r="A7" s="29"/>
      <c r="B7" s="30" t="s">
        <v>45</v>
      </c>
      <c r="C7" s="30" t="s">
        <v>47</v>
      </c>
      <c r="D7" s="30" t="s">
        <v>48</v>
      </c>
      <c r="E7" s="30" t="s">
        <v>50</v>
      </c>
      <c r="F7" s="32" t="s">
        <v>52</v>
      </c>
      <c r="G7" s="33"/>
      <c r="H7" s="34"/>
      <c r="I7" s="36" t="s">
        <v>56</v>
      </c>
      <c r="J7" s="6"/>
      <c r="K7" s="6"/>
    </row>
    <row r="8">
      <c r="A8" s="38">
        <v>1.0</v>
      </c>
      <c r="B8" s="45" t="s">
        <v>60</v>
      </c>
      <c r="C8" s="51" t="s">
        <v>74</v>
      </c>
      <c r="D8" s="52">
        <v>11.0</v>
      </c>
      <c r="E8" s="51" t="s">
        <v>26</v>
      </c>
      <c r="F8" s="55" t="s">
        <v>90</v>
      </c>
      <c r="G8" s="33"/>
      <c r="H8" s="34"/>
      <c r="J8" s="6"/>
      <c r="K8" s="6"/>
    </row>
    <row r="9">
      <c r="A9" s="38">
        <v>2.0</v>
      </c>
      <c r="B9" s="45" t="s">
        <v>46</v>
      </c>
      <c r="C9" s="51" t="s">
        <v>114</v>
      </c>
      <c r="D9" s="52">
        <v>12.0</v>
      </c>
      <c r="E9" s="51" t="s">
        <v>26</v>
      </c>
      <c r="F9" s="55" t="s">
        <v>115</v>
      </c>
      <c r="G9" s="33"/>
      <c r="H9" s="34"/>
      <c r="J9" s="6"/>
      <c r="K9" s="6"/>
    </row>
    <row r="10">
      <c r="A10" s="38">
        <v>3.0</v>
      </c>
      <c r="B10" s="45" t="s">
        <v>124</v>
      </c>
      <c r="C10" s="51" t="s">
        <v>129</v>
      </c>
      <c r="D10" s="52">
        <v>13.0</v>
      </c>
      <c r="E10" s="51" t="s">
        <v>130</v>
      </c>
      <c r="F10" s="55" t="s">
        <v>131</v>
      </c>
      <c r="G10" s="33"/>
      <c r="H10" s="34"/>
      <c r="I10" s="76" t="s">
        <v>136</v>
      </c>
      <c r="J10" s="6"/>
      <c r="K10" s="6"/>
    </row>
    <row r="11">
      <c r="A11" s="38">
        <v>4.0</v>
      </c>
      <c r="B11" s="45" t="s">
        <v>57</v>
      </c>
      <c r="C11" s="51" t="s">
        <v>150</v>
      </c>
      <c r="D11" s="52">
        <v>16.0</v>
      </c>
      <c r="E11" s="51" t="s">
        <v>151</v>
      </c>
      <c r="F11" s="55" t="s">
        <v>152</v>
      </c>
      <c r="G11" s="33"/>
      <c r="H11" s="34"/>
      <c r="J11" s="6"/>
      <c r="K11" s="6"/>
    </row>
    <row r="12">
      <c r="A12" s="38">
        <v>5.0</v>
      </c>
      <c r="B12" s="45" t="s">
        <v>156</v>
      </c>
      <c r="C12" s="51" t="s">
        <v>158</v>
      </c>
      <c r="D12" s="52">
        <v>6.0</v>
      </c>
      <c r="E12" s="51" t="s">
        <v>26</v>
      </c>
      <c r="F12" s="55" t="s">
        <v>159</v>
      </c>
      <c r="G12" s="33"/>
      <c r="H12" s="34"/>
      <c r="J12" s="6"/>
      <c r="K12" s="6"/>
    </row>
    <row r="13">
      <c r="A13" s="38">
        <v>6.0</v>
      </c>
      <c r="B13" s="45" t="s">
        <v>164</v>
      </c>
      <c r="C13" s="51" t="s">
        <v>165</v>
      </c>
      <c r="D13" s="52">
        <v>9.0</v>
      </c>
      <c r="E13" s="51" t="s">
        <v>21</v>
      </c>
      <c r="F13" s="55" t="s">
        <v>166</v>
      </c>
      <c r="G13" s="33"/>
      <c r="H13" s="34"/>
      <c r="I13" s="76" t="s">
        <v>136</v>
      </c>
      <c r="J13" s="6"/>
      <c r="K13" s="6"/>
    </row>
    <row r="14">
      <c r="A14" s="38">
        <v>7.0</v>
      </c>
      <c r="B14" s="45" t="s">
        <v>167</v>
      </c>
      <c r="C14" s="51" t="s">
        <v>169</v>
      </c>
      <c r="D14" s="52">
        <v>11.0</v>
      </c>
      <c r="E14" s="51" t="s">
        <v>172</v>
      </c>
      <c r="F14" s="55" t="s">
        <v>173</v>
      </c>
      <c r="G14" s="33"/>
      <c r="H14" s="34"/>
      <c r="J14" s="6"/>
      <c r="K14" s="6"/>
    </row>
    <row r="15">
      <c r="A15" s="38">
        <v>8.0</v>
      </c>
      <c r="B15" s="45" t="s">
        <v>175</v>
      </c>
      <c r="C15" s="51" t="s">
        <v>176</v>
      </c>
      <c r="D15" s="52">
        <v>9.0</v>
      </c>
      <c r="E15" s="51" t="s">
        <v>172</v>
      </c>
      <c r="F15" s="55" t="s">
        <v>177</v>
      </c>
      <c r="G15" s="33"/>
      <c r="H15" s="34"/>
      <c r="J15" s="6"/>
      <c r="K15" s="6"/>
    </row>
    <row r="16">
      <c r="A16" s="6"/>
      <c r="B16" s="6"/>
      <c r="C16" s="6"/>
      <c r="D16" s="6"/>
      <c r="E16" s="6"/>
      <c r="F16" s="6"/>
      <c r="G16" s="6"/>
      <c r="H16" s="6"/>
      <c r="I16" s="6"/>
      <c r="J16" s="6"/>
      <c r="K16" s="6"/>
    </row>
    <row r="17">
      <c r="A17" s="95"/>
      <c r="B17" s="96" t="s">
        <v>179</v>
      </c>
      <c r="C17" s="96" t="s">
        <v>180</v>
      </c>
      <c r="D17" s="97" t="s">
        <v>181</v>
      </c>
      <c r="E17" s="33"/>
      <c r="F17" s="33"/>
      <c r="G17" s="33"/>
      <c r="H17" s="33"/>
      <c r="I17" s="34"/>
      <c r="J17" s="6"/>
      <c r="K17" s="6"/>
    </row>
    <row r="18">
      <c r="A18" s="99"/>
      <c r="B18" s="100" t="s">
        <v>183</v>
      </c>
      <c r="C18" s="100" t="s">
        <v>184</v>
      </c>
      <c r="D18" s="102" t="s">
        <v>185</v>
      </c>
      <c r="E18" s="33"/>
      <c r="F18" s="33"/>
      <c r="G18" s="33"/>
      <c r="H18" s="33"/>
      <c r="I18" s="34"/>
      <c r="J18" s="6"/>
      <c r="K18" s="6"/>
    </row>
    <row r="19">
      <c r="A19" s="99"/>
      <c r="B19" s="100" t="s">
        <v>190</v>
      </c>
      <c r="C19" s="100" t="s">
        <v>191</v>
      </c>
      <c r="D19" s="102" t="s">
        <v>192</v>
      </c>
      <c r="E19" s="33"/>
      <c r="F19" s="33"/>
      <c r="G19" s="33"/>
      <c r="H19" s="33"/>
      <c r="I19" s="34"/>
      <c r="J19" s="6"/>
      <c r="K19" s="6"/>
    </row>
    <row r="20">
      <c r="A20" s="99"/>
      <c r="B20" s="100" t="s">
        <v>198</v>
      </c>
      <c r="C20" s="100" t="s">
        <v>7</v>
      </c>
      <c r="D20" s="102" t="s">
        <v>200</v>
      </c>
      <c r="E20" s="33"/>
      <c r="F20" s="33"/>
      <c r="G20" s="33"/>
      <c r="H20" s="33"/>
      <c r="I20" s="34"/>
      <c r="J20" s="6"/>
      <c r="K20" s="6"/>
    </row>
    <row r="21">
      <c r="A21" s="99"/>
      <c r="B21" s="100" t="s">
        <v>206</v>
      </c>
      <c r="C21" s="100" t="s">
        <v>8</v>
      </c>
      <c r="D21" s="102" t="s">
        <v>208</v>
      </c>
      <c r="E21" s="33"/>
      <c r="F21" s="33"/>
      <c r="G21" s="33"/>
      <c r="H21" s="33"/>
      <c r="I21" s="34"/>
      <c r="J21" s="6"/>
      <c r="K21" s="6"/>
    </row>
    <row r="22">
      <c r="A22" s="99"/>
      <c r="B22" s="100" t="s">
        <v>213</v>
      </c>
      <c r="C22" s="100" t="s">
        <v>9</v>
      </c>
      <c r="D22" s="102" t="s">
        <v>214</v>
      </c>
      <c r="E22" s="33"/>
      <c r="F22" s="33"/>
      <c r="G22" s="33"/>
      <c r="H22" s="33"/>
      <c r="I22" s="34"/>
      <c r="J22" s="6"/>
      <c r="K22" s="6"/>
    </row>
    <row r="23">
      <c r="A23" s="99"/>
      <c r="B23" s="100" t="s">
        <v>216</v>
      </c>
      <c r="C23" s="100" t="s">
        <v>217</v>
      </c>
      <c r="D23" s="102" t="s">
        <v>218</v>
      </c>
      <c r="E23" s="33"/>
      <c r="F23" s="33"/>
      <c r="G23" s="33"/>
      <c r="H23" s="33"/>
      <c r="I23" s="34"/>
      <c r="J23" s="6"/>
      <c r="K23" s="6"/>
    </row>
    <row r="24">
      <c r="A24" s="99"/>
      <c r="B24" s="100" t="s">
        <v>221</v>
      </c>
      <c r="C24" s="100" t="s">
        <v>11</v>
      </c>
      <c r="D24" s="102" t="s">
        <v>222</v>
      </c>
      <c r="E24" s="33"/>
      <c r="F24" s="33"/>
      <c r="G24" s="33"/>
      <c r="H24" s="33"/>
      <c r="I24" s="34"/>
      <c r="J24" s="6"/>
      <c r="K24" s="6"/>
    </row>
    <row r="25">
      <c r="A25" s="6"/>
      <c r="B25" s="6"/>
      <c r="C25" s="6"/>
      <c r="D25" s="6"/>
      <c r="E25" s="6"/>
      <c r="F25" s="6"/>
      <c r="G25" s="6"/>
      <c r="H25" s="6"/>
      <c r="I25" s="6"/>
      <c r="J25" s="6"/>
      <c r="K25" s="6"/>
    </row>
    <row r="26">
      <c r="A26" s="6"/>
      <c r="B26" s="112" t="s">
        <v>226</v>
      </c>
      <c r="C26" s="33"/>
      <c r="D26" s="33"/>
      <c r="E26" s="34"/>
      <c r="F26" s="113" t="s">
        <v>232</v>
      </c>
      <c r="G26" s="33"/>
      <c r="H26" s="34"/>
      <c r="I26" s="6"/>
      <c r="J26" s="6"/>
      <c r="K26" s="6"/>
    </row>
    <row r="27">
      <c r="A27" s="6"/>
      <c r="B27" s="114" t="s">
        <v>1</v>
      </c>
      <c r="C27" s="115" t="s">
        <v>238</v>
      </c>
      <c r="D27" s="115"/>
      <c r="E27" s="115"/>
      <c r="F27" s="116"/>
      <c r="G27" s="117"/>
      <c r="H27" s="118"/>
      <c r="I27" s="6"/>
      <c r="J27" s="6"/>
      <c r="K27" s="6"/>
    </row>
    <row r="28">
      <c r="A28" s="6"/>
      <c r="B28" s="119">
        <v>1.0</v>
      </c>
      <c r="C28" s="120" t="s">
        <v>249</v>
      </c>
      <c r="D28" s="120" t="s">
        <v>251</v>
      </c>
      <c r="E28" s="120"/>
      <c r="F28" s="117"/>
      <c r="G28" s="117"/>
      <c r="H28" s="118"/>
      <c r="I28" s="6"/>
      <c r="J28" s="6"/>
      <c r="K28" s="6"/>
    </row>
    <row r="29">
      <c r="A29" s="6"/>
      <c r="B29" s="119">
        <v>2.0</v>
      </c>
      <c r="C29" s="120" t="s">
        <v>252</v>
      </c>
      <c r="D29" s="121"/>
      <c r="E29" s="121"/>
      <c r="F29" s="123"/>
      <c r="G29" s="123"/>
      <c r="H29" s="118"/>
      <c r="I29" s="6"/>
      <c r="J29" s="6"/>
      <c r="K29" s="6"/>
    </row>
    <row r="30">
      <c r="A30" s="6"/>
      <c r="B30" s="119">
        <v>3.0</v>
      </c>
      <c r="C30" s="120" t="s">
        <v>57</v>
      </c>
      <c r="D30" s="120" t="s">
        <v>253</v>
      </c>
      <c r="E30" s="120"/>
      <c r="F30" s="117"/>
      <c r="G30" s="117"/>
      <c r="H30" s="118"/>
      <c r="I30" s="6"/>
      <c r="J30" s="6"/>
      <c r="K30" s="6"/>
    </row>
    <row r="31">
      <c r="A31" s="6"/>
      <c r="B31" s="119">
        <v>4.0</v>
      </c>
      <c r="C31" s="120" t="s">
        <v>254</v>
      </c>
      <c r="D31" s="121"/>
      <c r="E31" s="121"/>
      <c r="F31" s="123"/>
      <c r="G31" s="123"/>
      <c r="H31" s="118"/>
      <c r="I31" s="6"/>
      <c r="J31" s="6"/>
      <c r="K31" s="6"/>
    </row>
    <row r="32">
      <c r="A32" s="6"/>
      <c r="B32" s="119">
        <v>5.0</v>
      </c>
      <c r="C32" s="121"/>
      <c r="D32" s="121"/>
      <c r="E32" s="121"/>
      <c r="F32" s="123"/>
      <c r="G32" s="123"/>
      <c r="H32" s="118"/>
      <c r="I32" s="6"/>
      <c r="J32" s="6"/>
      <c r="K32" s="6"/>
    </row>
    <row r="33">
      <c r="A33" s="6"/>
      <c r="B33" s="121"/>
      <c r="C33" s="120" t="s">
        <v>255</v>
      </c>
      <c r="D33" s="121"/>
      <c r="E33" s="121"/>
      <c r="F33" s="123"/>
      <c r="G33" s="123"/>
      <c r="H33" s="118"/>
      <c r="I33" s="6"/>
      <c r="J33" s="6"/>
      <c r="K33" s="6"/>
    </row>
    <row r="34">
      <c r="A34" s="6"/>
      <c r="B34" s="120" t="s">
        <v>256</v>
      </c>
      <c r="C34" s="120" t="s">
        <v>257</v>
      </c>
      <c r="D34" s="121"/>
      <c r="E34" s="121"/>
      <c r="F34" s="123"/>
      <c r="G34" s="123"/>
      <c r="H34" s="118"/>
      <c r="I34" s="6"/>
      <c r="J34" s="6"/>
      <c r="K34" s="6"/>
    </row>
    <row r="35">
      <c r="A35" s="6"/>
      <c r="B35" s="120" t="s">
        <v>258</v>
      </c>
      <c r="C35" s="120" t="s">
        <v>259</v>
      </c>
      <c r="D35" s="121"/>
      <c r="E35" s="121"/>
      <c r="F35" s="123"/>
      <c r="G35" s="123"/>
      <c r="H35" s="118"/>
      <c r="I35" s="6"/>
      <c r="J35" s="6"/>
      <c r="K35" s="6"/>
    </row>
    <row r="36">
      <c r="A36" s="6"/>
      <c r="B36" s="120" t="s">
        <v>260</v>
      </c>
      <c r="C36" s="125" t="s">
        <v>261</v>
      </c>
      <c r="D36" s="121"/>
      <c r="E36" s="121"/>
      <c r="F36" s="123"/>
      <c r="G36" s="123"/>
      <c r="H36" s="118"/>
      <c r="I36" s="6"/>
      <c r="J36" s="6"/>
      <c r="K36" s="6"/>
    </row>
    <row r="37">
      <c r="A37" s="6"/>
      <c r="B37" s="126" t="s">
        <v>262</v>
      </c>
      <c r="C37" s="127">
        <v>2029.0</v>
      </c>
      <c r="D37" s="121"/>
      <c r="E37" s="121"/>
      <c r="F37" s="123"/>
      <c r="G37" s="123"/>
      <c r="H37" s="118"/>
      <c r="I37" s="6"/>
      <c r="J37" s="6"/>
      <c r="K37" s="6"/>
    </row>
    <row r="38">
      <c r="A38" s="6"/>
      <c r="B38" s="126" t="s">
        <v>263</v>
      </c>
      <c r="C38" s="128">
        <v>0.2</v>
      </c>
      <c r="D38" s="121"/>
      <c r="E38" s="121"/>
      <c r="F38" s="123"/>
      <c r="G38" s="123"/>
      <c r="H38" s="118"/>
      <c r="I38" s="6"/>
      <c r="J38" s="6"/>
      <c r="K38" s="6"/>
    </row>
    <row r="39">
      <c r="A39" s="6"/>
      <c r="B39" s="126" t="s">
        <v>264</v>
      </c>
      <c r="C39" s="128">
        <v>0.15</v>
      </c>
      <c r="D39" s="121"/>
      <c r="E39" s="121"/>
      <c r="F39" s="121"/>
      <c r="G39" s="121"/>
      <c r="H39" s="6"/>
      <c r="I39" s="6"/>
      <c r="J39" s="6"/>
      <c r="K39" s="6"/>
    </row>
    <row r="40">
      <c r="A40" s="6"/>
      <c r="B40" s="120" t="s">
        <v>265</v>
      </c>
      <c r="C40" s="120" t="s">
        <v>266</v>
      </c>
      <c r="D40" s="120" t="s">
        <v>267</v>
      </c>
      <c r="E40" s="121"/>
      <c r="F40" s="121"/>
      <c r="G40" s="121"/>
      <c r="H40" s="6"/>
      <c r="I40" s="6"/>
      <c r="J40" s="6"/>
      <c r="K40" s="6"/>
    </row>
    <row r="41">
      <c r="A41" s="6"/>
      <c r="B41" s="120" t="s">
        <v>269</v>
      </c>
      <c r="C41" s="120" t="s">
        <v>270</v>
      </c>
      <c r="D41" s="121"/>
      <c r="E41" s="121"/>
      <c r="F41" s="121"/>
      <c r="G41" s="121"/>
      <c r="H41" s="6"/>
      <c r="I41" s="6"/>
      <c r="J41" s="6"/>
      <c r="K41" s="6"/>
    </row>
    <row r="42">
      <c r="A42" s="6"/>
      <c r="B42" s="120" t="s">
        <v>272</v>
      </c>
      <c r="C42" s="120" t="s">
        <v>274</v>
      </c>
      <c r="D42" s="121"/>
      <c r="E42" s="121"/>
      <c r="F42" s="121"/>
      <c r="G42" s="121"/>
      <c r="H42" s="6"/>
      <c r="I42" s="6"/>
      <c r="J42" s="6"/>
      <c r="K42" s="6"/>
    </row>
    <row r="43">
      <c r="A43" s="6"/>
      <c r="B43" s="120" t="s">
        <v>276</v>
      </c>
      <c r="C43" s="120" t="s">
        <v>277</v>
      </c>
      <c r="D43" s="121"/>
      <c r="E43" s="121"/>
      <c r="F43" s="121"/>
      <c r="G43" s="121"/>
      <c r="H43" s="6"/>
      <c r="I43" s="6"/>
      <c r="J43" s="6"/>
      <c r="K43" s="6"/>
    </row>
    <row r="44">
      <c r="A44" s="6"/>
      <c r="B44" s="120" t="s">
        <v>278</v>
      </c>
      <c r="C44" s="120" t="s">
        <v>279</v>
      </c>
      <c r="D44" s="120" t="s">
        <v>280</v>
      </c>
      <c r="E44" s="121"/>
      <c r="F44" s="121"/>
      <c r="G44" s="121"/>
      <c r="H44" s="6"/>
      <c r="I44" s="6"/>
      <c r="J44" s="6"/>
      <c r="K44" s="6"/>
    </row>
    <row r="45">
      <c r="A45" s="6"/>
      <c r="B45" s="130" t="s">
        <v>281</v>
      </c>
      <c r="C45" s="130" t="s">
        <v>282</v>
      </c>
      <c r="D45" s="6"/>
      <c r="E45" s="6"/>
      <c r="F45" s="6"/>
      <c r="G45" s="6"/>
      <c r="H45" s="6"/>
      <c r="I45" s="6"/>
      <c r="J45" s="6"/>
      <c r="K45" s="6"/>
    </row>
    <row r="46">
      <c r="A46" s="6"/>
      <c r="B46" s="6"/>
      <c r="C46" s="6"/>
      <c r="D46" s="6"/>
      <c r="E46" s="6"/>
      <c r="F46" s="6"/>
      <c r="G46" s="6"/>
      <c r="H46" s="6"/>
      <c r="I46" s="6"/>
      <c r="J46" s="6"/>
      <c r="K46" s="6"/>
    </row>
    <row r="47">
      <c r="A47" s="6"/>
      <c r="B47" s="6"/>
      <c r="C47" s="6"/>
      <c r="D47" s="6"/>
      <c r="E47" s="6"/>
      <c r="F47" s="6"/>
      <c r="G47" s="6"/>
      <c r="H47" s="6"/>
      <c r="I47" s="6"/>
      <c r="J47" s="6"/>
      <c r="K47" s="6"/>
    </row>
    <row r="48">
      <c r="A48" s="6"/>
      <c r="B48" s="6"/>
      <c r="C48" s="6"/>
      <c r="D48" s="6"/>
      <c r="E48" s="6"/>
      <c r="F48" s="6"/>
      <c r="G48" s="6"/>
      <c r="H48" s="6"/>
      <c r="I48" s="6"/>
      <c r="J48" s="6"/>
      <c r="K48" s="6"/>
    </row>
  </sheetData>
  <mergeCells count="22">
    <mergeCell ref="B1:D1"/>
    <mergeCell ref="B2:I2"/>
    <mergeCell ref="B5:I5"/>
    <mergeCell ref="F7:H7"/>
    <mergeCell ref="F8:H8"/>
    <mergeCell ref="F9:H9"/>
    <mergeCell ref="F10:H10"/>
    <mergeCell ref="D19:I19"/>
    <mergeCell ref="D20:I20"/>
    <mergeCell ref="D21:I21"/>
    <mergeCell ref="D22:I22"/>
    <mergeCell ref="D23:I23"/>
    <mergeCell ref="D24:I24"/>
    <mergeCell ref="B26:E26"/>
    <mergeCell ref="F26:H26"/>
    <mergeCell ref="F11:H11"/>
    <mergeCell ref="F12:H12"/>
    <mergeCell ref="F13:H13"/>
    <mergeCell ref="F14:H14"/>
    <mergeCell ref="F15:H15"/>
    <mergeCell ref="D17:I17"/>
    <mergeCell ref="D18:I18"/>
  </mergeCells>
  <hyperlinks>
    <hyperlink display="Operations" location="'Operations Department'!A1" ref="B8"/>
    <hyperlink display="Finance" location="'2. Finance'!A1" ref="B9"/>
    <hyperlink display="Marketing &amp; Admissions" location="'3. Marketing'!A1" ref="B10"/>
    <hyperlink r:id="rId1" ref="I10"/>
    <hyperlink display="HR" location="'4. HR'!A1" ref="B11"/>
    <hyperlink display="Data, Tech &amp; MEL" location="'5. Data, Tech &amp; MEL '!A1" ref="B12"/>
    <hyperlink display="Student Experience" location="'6. Student Experience'!A1" ref="B13"/>
    <hyperlink r:id="rId2" ref="I13"/>
    <hyperlink display="Academic" location="'7. Academic Department'!A1" ref="B14"/>
    <hyperlink display="Expansion" location="'8.Expansion'!A1" ref="B15"/>
  </hyperlinks>
  <printOptions gridLines="1" horizontalCentered="1"/>
  <pageMargins bottom="0.75" footer="0.0" header="0.0" left="0.7" right="0.7" top="0.75"/>
  <pageSetup fitToHeight="0" cellComments="atEnd" orientation="landscape" pageOrder="overThenDown"/>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3"/>
    <col customWidth="1" min="2" max="2" width="43.88"/>
    <col customWidth="1" min="3" max="3" width="53.13"/>
    <col customWidth="1" min="4" max="4" width="53.0"/>
    <col customWidth="1" min="5" max="5" width="21.63"/>
    <col customWidth="1" min="6" max="6" width="24.75"/>
    <col customWidth="1" min="7" max="7" width="8.38"/>
    <col customWidth="1" min="8" max="8" width="53.0"/>
  </cols>
  <sheetData>
    <row r="1" ht="24.75" customHeight="1">
      <c r="A1" s="5" t="s">
        <v>1</v>
      </c>
      <c r="B1" s="5" t="s">
        <v>5</v>
      </c>
      <c r="C1" s="5" t="s">
        <v>7</v>
      </c>
      <c r="D1" s="5" t="s">
        <v>8</v>
      </c>
      <c r="E1" s="5" t="s">
        <v>9</v>
      </c>
      <c r="F1" s="5" t="s">
        <v>10</v>
      </c>
      <c r="G1" s="8" t="s">
        <v>11</v>
      </c>
      <c r="H1" s="8" t="s">
        <v>12</v>
      </c>
    </row>
    <row r="2">
      <c r="A2" s="11">
        <v>6.1</v>
      </c>
      <c r="B2" s="14" t="s">
        <v>16</v>
      </c>
      <c r="C2" s="14" t="s">
        <v>19</v>
      </c>
      <c r="D2" s="14" t="s">
        <v>20</v>
      </c>
      <c r="E2" s="14" t="s">
        <v>21</v>
      </c>
      <c r="F2" s="14" t="s">
        <v>23</v>
      </c>
      <c r="G2" s="17">
        <v>1.0</v>
      </c>
      <c r="H2" s="19"/>
    </row>
    <row r="3">
      <c r="A3" s="21">
        <v>6.2</v>
      </c>
      <c r="B3" s="14" t="s">
        <v>31</v>
      </c>
      <c r="C3" s="14" t="s">
        <v>32</v>
      </c>
      <c r="D3" s="14" t="s">
        <v>33</v>
      </c>
      <c r="E3" s="14" t="s">
        <v>21</v>
      </c>
      <c r="F3" s="14" t="s">
        <v>34</v>
      </c>
      <c r="G3" s="17">
        <v>2.0</v>
      </c>
      <c r="H3" s="19"/>
    </row>
    <row r="4">
      <c r="A4" s="26">
        <v>6.3</v>
      </c>
      <c r="B4" s="27" t="s">
        <v>41</v>
      </c>
      <c r="C4" s="27" t="s">
        <v>43</v>
      </c>
      <c r="D4" s="27" t="s">
        <v>44</v>
      </c>
      <c r="E4" s="44" t="s">
        <v>42</v>
      </c>
      <c r="F4" s="44" t="s">
        <v>42</v>
      </c>
      <c r="G4" s="46">
        <v>3.0</v>
      </c>
      <c r="H4" s="50"/>
    </row>
    <row r="5">
      <c r="A5" s="26">
        <v>6.4</v>
      </c>
      <c r="B5" s="27" t="s">
        <v>82</v>
      </c>
      <c r="C5" s="27" t="s">
        <v>84</v>
      </c>
      <c r="D5" s="27" t="s">
        <v>85</v>
      </c>
      <c r="E5" s="44" t="s">
        <v>42</v>
      </c>
      <c r="F5" s="44" t="s">
        <v>42</v>
      </c>
      <c r="G5" s="46">
        <v>4.0</v>
      </c>
      <c r="H5" s="50"/>
    </row>
    <row r="6">
      <c r="A6" s="26">
        <v>6.5</v>
      </c>
      <c r="B6" s="27" t="s">
        <v>91</v>
      </c>
      <c r="C6" s="27" t="s">
        <v>93</v>
      </c>
      <c r="D6" s="27" t="s">
        <v>95</v>
      </c>
      <c r="E6" s="44" t="s">
        <v>42</v>
      </c>
      <c r="F6" s="44" t="s">
        <v>42</v>
      </c>
      <c r="G6" s="46">
        <v>5.0</v>
      </c>
      <c r="H6" s="50"/>
    </row>
    <row r="7">
      <c r="A7" s="11">
        <v>6.6</v>
      </c>
      <c r="B7" s="14" t="s">
        <v>101</v>
      </c>
      <c r="C7" s="14" t="s">
        <v>103</v>
      </c>
      <c r="D7" s="14" t="s">
        <v>104</v>
      </c>
      <c r="E7" s="14" t="s">
        <v>106</v>
      </c>
      <c r="F7" s="14" t="s">
        <v>107</v>
      </c>
      <c r="G7" s="17">
        <v>6.0</v>
      </c>
      <c r="H7" s="19"/>
    </row>
    <row r="8">
      <c r="A8" s="59">
        <v>6.7</v>
      </c>
      <c r="B8" s="61" t="s">
        <v>118</v>
      </c>
      <c r="C8" s="61" t="s">
        <v>122</v>
      </c>
      <c r="D8" s="61" t="s">
        <v>126</v>
      </c>
      <c r="E8" s="61" t="s">
        <v>21</v>
      </c>
      <c r="F8" s="61" t="s">
        <v>128</v>
      </c>
      <c r="G8" s="63">
        <v>7.0</v>
      </c>
      <c r="H8" s="66"/>
    </row>
    <row r="9">
      <c r="A9" s="59">
        <v>6.8</v>
      </c>
      <c r="B9" s="61" t="s">
        <v>137</v>
      </c>
      <c r="C9" s="61" t="s">
        <v>138</v>
      </c>
      <c r="D9" s="61" t="s">
        <v>139</v>
      </c>
      <c r="E9" s="61" t="s">
        <v>141</v>
      </c>
      <c r="F9" s="61"/>
      <c r="G9" s="63">
        <v>8.0</v>
      </c>
      <c r="H9" s="66"/>
    </row>
    <row r="10">
      <c r="A10" s="26">
        <v>6.9</v>
      </c>
      <c r="B10" s="27" t="s">
        <v>143</v>
      </c>
      <c r="C10" s="27" t="s">
        <v>144</v>
      </c>
      <c r="D10" s="27" t="s">
        <v>145</v>
      </c>
      <c r="E10" s="44" t="s">
        <v>42</v>
      </c>
      <c r="F10" s="44" t="s">
        <v>42</v>
      </c>
      <c r="G10" s="46">
        <v>9.0</v>
      </c>
      <c r="H10" s="50"/>
    </row>
    <row r="11">
      <c r="A11" s="75"/>
      <c r="B11" s="77"/>
      <c r="C11" s="77"/>
      <c r="D11" s="77"/>
      <c r="E11" s="77"/>
      <c r="F11" s="77"/>
      <c r="G11" s="80"/>
      <c r="H11" s="77"/>
    </row>
  </sheetData>
  <hyperlinks>
    <hyperlink r:id="rId1" ref="E4"/>
    <hyperlink r:id="rId2" ref="F4"/>
    <hyperlink r:id="rId3" ref="E5"/>
    <hyperlink r:id="rId4" ref="F5"/>
    <hyperlink r:id="rId5" ref="E6"/>
    <hyperlink r:id="rId6" ref="F6"/>
    <hyperlink r:id="rId7" ref="E10"/>
    <hyperlink r:id="rId8" ref="F10"/>
  </hyperlinks>
  <drawing r:id="rId9"/>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38"/>
    <col customWidth="1" min="2" max="2" width="24.25"/>
    <col customWidth="1" min="3" max="4" width="26.13"/>
    <col customWidth="1" min="5" max="5" width="101.88"/>
    <col customWidth="1" min="6" max="6" width="48.38"/>
    <col customWidth="1" min="7" max="7" width="32.88"/>
    <col customWidth="1" min="8" max="8" width="12.63"/>
    <col customWidth="1" min="9" max="9" width="6.13"/>
    <col customWidth="1" min="10" max="10" width="5.38"/>
  </cols>
  <sheetData>
    <row r="1">
      <c r="A1" s="2" t="s">
        <v>2</v>
      </c>
      <c r="B1" s="4" t="s">
        <v>4</v>
      </c>
      <c r="C1" s="4" t="s">
        <v>5</v>
      </c>
      <c r="D1" s="4" t="s">
        <v>6</v>
      </c>
      <c r="E1" s="4" t="s">
        <v>7</v>
      </c>
      <c r="F1" s="4" t="s">
        <v>8</v>
      </c>
      <c r="G1" s="4" t="s">
        <v>9</v>
      </c>
      <c r="H1" s="4" t="s">
        <v>10</v>
      </c>
      <c r="I1" s="2" t="s">
        <v>11</v>
      </c>
      <c r="J1" s="4" t="s">
        <v>12</v>
      </c>
    </row>
    <row r="2">
      <c r="A2" s="9">
        <v>1.0</v>
      </c>
      <c r="B2" s="10" t="s">
        <v>14</v>
      </c>
      <c r="C2" s="13" t="s">
        <v>15</v>
      </c>
      <c r="D2" s="10" t="s">
        <v>18</v>
      </c>
      <c r="E2" s="16" t="s">
        <v>22</v>
      </c>
      <c r="F2" s="20" t="s">
        <v>28</v>
      </c>
      <c r="G2" s="20" t="s">
        <v>30</v>
      </c>
      <c r="H2" s="20"/>
      <c r="I2" s="9"/>
      <c r="J2" s="24"/>
    </row>
    <row r="3">
      <c r="A3" s="9">
        <v>2.0</v>
      </c>
      <c r="B3" s="13" t="s">
        <v>14</v>
      </c>
      <c r="C3" s="13" t="s">
        <v>36</v>
      </c>
      <c r="D3" s="13" t="s">
        <v>38</v>
      </c>
      <c r="E3" s="28"/>
      <c r="F3" s="20"/>
      <c r="G3" s="20"/>
      <c r="H3" s="20"/>
      <c r="I3" s="9"/>
      <c r="J3" s="24"/>
    </row>
    <row r="4">
      <c r="A4" s="9">
        <v>3.0</v>
      </c>
      <c r="B4" s="31" t="s">
        <v>46</v>
      </c>
      <c r="C4" s="31" t="s">
        <v>49</v>
      </c>
      <c r="D4" s="31" t="s">
        <v>51</v>
      </c>
      <c r="E4" s="20" t="s">
        <v>53</v>
      </c>
      <c r="F4" s="20" t="s">
        <v>54</v>
      </c>
      <c r="G4" s="20" t="s">
        <v>55</v>
      </c>
      <c r="H4" s="35"/>
      <c r="I4" s="9"/>
      <c r="J4" s="37"/>
    </row>
    <row r="5">
      <c r="A5" s="9">
        <v>4.0</v>
      </c>
      <c r="B5" s="39" t="s">
        <v>57</v>
      </c>
      <c r="C5" s="40" t="s">
        <v>58</v>
      </c>
      <c r="D5" s="39" t="s">
        <v>59</v>
      </c>
      <c r="E5" s="16" t="s">
        <v>61</v>
      </c>
      <c r="F5" s="28" t="s">
        <v>62</v>
      </c>
      <c r="G5" s="20" t="s">
        <v>63</v>
      </c>
      <c r="H5" s="20"/>
      <c r="I5" s="9"/>
      <c r="J5" s="24"/>
    </row>
    <row r="6">
      <c r="A6" s="9">
        <v>5.0</v>
      </c>
      <c r="B6" s="31" t="s">
        <v>64</v>
      </c>
      <c r="C6" s="31" t="s">
        <v>65</v>
      </c>
      <c r="D6" s="31" t="s">
        <v>66</v>
      </c>
      <c r="E6" s="28" t="s">
        <v>67</v>
      </c>
      <c r="F6" s="20" t="s">
        <v>68</v>
      </c>
      <c r="G6" s="20" t="s">
        <v>69</v>
      </c>
      <c r="H6" s="20"/>
      <c r="I6" s="9"/>
      <c r="J6" s="24"/>
    </row>
    <row r="7">
      <c r="A7" s="9">
        <v>6.0</v>
      </c>
      <c r="B7" s="20" t="s">
        <v>70</v>
      </c>
      <c r="C7" s="20" t="s">
        <v>71</v>
      </c>
      <c r="D7" s="20" t="s">
        <v>72</v>
      </c>
      <c r="E7" s="28"/>
      <c r="F7" s="20"/>
      <c r="G7" s="41"/>
      <c r="H7" s="43"/>
      <c r="I7" s="47"/>
      <c r="J7" s="24"/>
    </row>
    <row r="8">
      <c r="A8" s="9">
        <v>6.0</v>
      </c>
      <c r="B8" s="49" t="s">
        <v>60</v>
      </c>
      <c r="C8" s="43" t="s">
        <v>76</v>
      </c>
      <c r="D8" s="49" t="s">
        <v>78</v>
      </c>
      <c r="E8" s="16" t="s">
        <v>86</v>
      </c>
      <c r="F8" s="20" t="s">
        <v>87</v>
      </c>
      <c r="G8" s="54" t="s">
        <v>89</v>
      </c>
      <c r="H8" s="43"/>
      <c r="I8" s="47"/>
      <c r="J8" s="24"/>
    </row>
    <row r="9">
      <c r="A9" s="9">
        <v>7.0</v>
      </c>
      <c r="B9" s="56" t="s">
        <v>97</v>
      </c>
      <c r="C9" s="57" t="s">
        <v>100</v>
      </c>
      <c r="D9" s="56" t="s">
        <v>105</v>
      </c>
      <c r="E9" s="16" t="s">
        <v>108</v>
      </c>
      <c r="F9" s="20" t="s">
        <v>110</v>
      </c>
      <c r="G9" s="20" t="s">
        <v>113</v>
      </c>
      <c r="H9" s="20"/>
      <c r="I9" s="9"/>
      <c r="J9" s="24"/>
    </row>
    <row r="10">
      <c r="A10" s="9"/>
      <c r="B10" s="60"/>
      <c r="C10" s="60"/>
      <c r="D10" s="60"/>
      <c r="E10" s="62"/>
      <c r="F10" s="60"/>
      <c r="G10" s="60"/>
      <c r="H10" s="60"/>
      <c r="I10" s="9"/>
      <c r="J10" s="65"/>
    </row>
    <row r="11">
      <c r="A11" s="67">
        <v>8.0</v>
      </c>
      <c r="B11" s="69" t="s">
        <v>140</v>
      </c>
      <c r="C11" s="69" t="s">
        <v>142</v>
      </c>
      <c r="D11" s="71" t="s">
        <v>59</v>
      </c>
      <c r="E11" s="72"/>
      <c r="F11" s="69"/>
      <c r="G11" s="69"/>
      <c r="H11" s="69"/>
      <c r="I11" s="67"/>
      <c r="J11" s="74"/>
    </row>
    <row r="12">
      <c r="A12" s="67"/>
      <c r="B12" s="69"/>
      <c r="C12" s="69"/>
      <c r="D12" s="71"/>
      <c r="E12" s="72"/>
      <c r="F12" s="69"/>
      <c r="G12" s="69"/>
      <c r="H12" s="69"/>
      <c r="I12" s="67"/>
      <c r="J12" s="74"/>
    </row>
    <row r="13">
      <c r="A13" s="67"/>
      <c r="B13" s="69"/>
      <c r="C13" s="69"/>
      <c r="D13" s="71"/>
      <c r="E13" s="72"/>
      <c r="F13" s="69"/>
      <c r="G13" s="69"/>
      <c r="H13" s="69"/>
      <c r="I13" s="67"/>
      <c r="J13" s="74"/>
    </row>
    <row r="14">
      <c r="A14" s="67"/>
      <c r="B14" s="69"/>
      <c r="C14" s="69"/>
      <c r="D14" s="71"/>
      <c r="E14" s="72"/>
      <c r="F14" s="69"/>
      <c r="G14" s="69"/>
      <c r="H14" s="69"/>
      <c r="I14" s="67"/>
      <c r="J14" s="74"/>
    </row>
  </sheetData>
  <printOptions gridLines="1" horizontalCentered="1"/>
  <pageMargins bottom="0.75" footer="0.0" header="0.0" left="0.7" right="0.7" top="0.75"/>
  <pageSetup fitToHeight="0" cellComments="atEnd" orientation="landscape" pageOrder="overThenDown"/>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0"/>
    <col customWidth="1" min="2" max="2" width="29.5"/>
    <col customWidth="1" min="3" max="3" width="43.5"/>
    <col customWidth="1" min="4" max="4" width="57.13"/>
    <col customWidth="1" min="5" max="5" width="19.38"/>
    <col customWidth="1" min="6" max="6" width="12.5"/>
    <col customWidth="1" min="7" max="7" width="10.88"/>
    <col customWidth="1" min="8" max="8" width="62.63"/>
  </cols>
  <sheetData>
    <row r="1" ht="24.75" customHeight="1">
      <c r="A1" s="5" t="s">
        <v>1</v>
      </c>
      <c r="B1" s="5" t="s">
        <v>5</v>
      </c>
      <c r="C1" s="5" t="s">
        <v>7</v>
      </c>
      <c r="D1" s="5" t="s">
        <v>8</v>
      </c>
      <c r="E1" s="5" t="s">
        <v>9</v>
      </c>
      <c r="F1" s="5" t="s">
        <v>10</v>
      </c>
      <c r="G1" s="8" t="s">
        <v>11</v>
      </c>
      <c r="H1" s="5" t="s">
        <v>12</v>
      </c>
    </row>
    <row r="2">
      <c r="A2" s="12">
        <v>1.1</v>
      </c>
      <c r="B2" s="15" t="s">
        <v>17</v>
      </c>
      <c r="C2" s="15" t="s">
        <v>24</v>
      </c>
      <c r="D2" s="15" t="s">
        <v>25</v>
      </c>
      <c r="E2" s="15" t="s">
        <v>26</v>
      </c>
      <c r="F2" s="12" t="s">
        <v>27</v>
      </c>
      <c r="G2" s="17">
        <v>1.0</v>
      </c>
      <c r="H2" s="22"/>
    </row>
    <row r="3">
      <c r="A3" s="25">
        <v>1.2</v>
      </c>
      <c r="B3" s="25" t="s">
        <v>37</v>
      </c>
      <c r="C3" s="25" t="s">
        <v>39</v>
      </c>
      <c r="D3" s="25" t="s">
        <v>40</v>
      </c>
      <c r="E3" s="42" t="s">
        <v>42</v>
      </c>
      <c r="F3" s="25" t="s">
        <v>73</v>
      </c>
      <c r="G3" s="46">
        <v>2.0</v>
      </c>
      <c r="H3" s="48" t="s">
        <v>75</v>
      </c>
    </row>
    <row r="4">
      <c r="A4" s="12">
        <v>1.3</v>
      </c>
      <c r="B4" s="15" t="s">
        <v>77</v>
      </c>
      <c r="C4" s="15" t="s">
        <v>79</v>
      </c>
      <c r="D4" s="15" t="s">
        <v>80</v>
      </c>
      <c r="E4" s="15" t="s">
        <v>81</v>
      </c>
      <c r="F4" s="12" t="s">
        <v>83</v>
      </c>
      <c r="G4" s="17">
        <v>3.0</v>
      </c>
      <c r="H4" s="53" t="s">
        <v>88</v>
      </c>
    </row>
    <row r="5">
      <c r="A5" s="12">
        <v>1.4</v>
      </c>
      <c r="B5" s="15" t="s">
        <v>92</v>
      </c>
      <c r="C5" s="15" t="s">
        <v>94</v>
      </c>
      <c r="D5" s="15" t="s">
        <v>96</v>
      </c>
      <c r="E5" s="15" t="s">
        <v>26</v>
      </c>
      <c r="F5" s="12" t="s">
        <v>98</v>
      </c>
      <c r="G5" s="17">
        <v>4.0</v>
      </c>
      <c r="H5" s="53" t="s">
        <v>99</v>
      </c>
    </row>
    <row r="6">
      <c r="A6" s="12">
        <v>1.5</v>
      </c>
      <c r="B6" s="58" t="s">
        <v>102</v>
      </c>
      <c r="C6" s="58" t="s">
        <v>109</v>
      </c>
      <c r="D6" s="58" t="s">
        <v>111</v>
      </c>
      <c r="E6" s="58" t="s">
        <v>112</v>
      </c>
      <c r="F6" s="12"/>
      <c r="G6" s="17">
        <v>5.0</v>
      </c>
      <c r="H6" s="22"/>
    </row>
    <row r="7">
      <c r="A7" s="12">
        <v>1.6</v>
      </c>
      <c r="B7" s="15" t="s">
        <v>116</v>
      </c>
      <c r="C7" s="15" t="s">
        <v>117</v>
      </c>
      <c r="D7" s="15" t="s">
        <v>119</v>
      </c>
      <c r="E7" s="15" t="s">
        <v>120</v>
      </c>
      <c r="F7" s="12"/>
      <c r="G7" s="17">
        <v>6.0</v>
      </c>
      <c r="H7" s="22"/>
    </row>
    <row r="8">
      <c r="A8" s="12">
        <v>1.7</v>
      </c>
      <c r="B8" s="15" t="s">
        <v>121</v>
      </c>
      <c r="C8" s="15" t="s">
        <v>123</v>
      </c>
      <c r="D8" s="15" t="s">
        <v>125</v>
      </c>
      <c r="E8" s="15" t="s">
        <v>127</v>
      </c>
      <c r="F8" s="12"/>
      <c r="G8" s="17">
        <v>8.0</v>
      </c>
      <c r="H8" s="22"/>
    </row>
    <row r="9">
      <c r="A9" s="64">
        <v>1.8</v>
      </c>
      <c r="B9" s="64" t="s">
        <v>132</v>
      </c>
      <c r="C9" s="64" t="s">
        <v>133</v>
      </c>
      <c r="D9" s="64" t="s">
        <v>134</v>
      </c>
      <c r="E9" s="64" t="s">
        <v>135</v>
      </c>
      <c r="F9" s="64"/>
      <c r="G9" s="68">
        <v>9.0</v>
      </c>
      <c r="H9" s="70"/>
    </row>
    <row r="10">
      <c r="A10" s="73">
        <v>1.9</v>
      </c>
      <c r="B10" s="73" t="s">
        <v>146</v>
      </c>
      <c r="C10" s="73" t="s">
        <v>147</v>
      </c>
      <c r="D10" s="73" t="s">
        <v>148</v>
      </c>
      <c r="E10" s="73" t="s">
        <v>149</v>
      </c>
      <c r="F10" s="73"/>
      <c r="G10" s="78">
        <v>10.0</v>
      </c>
      <c r="H10" s="79"/>
    </row>
    <row r="11">
      <c r="A11" s="81">
        <v>1.11</v>
      </c>
      <c r="B11" s="15" t="s">
        <v>153</v>
      </c>
      <c r="C11" s="82" t="s">
        <v>154</v>
      </c>
      <c r="D11" s="82" t="s">
        <v>155</v>
      </c>
      <c r="E11" s="83" t="s">
        <v>157</v>
      </c>
      <c r="F11" s="84"/>
      <c r="G11" s="17">
        <v>11.0</v>
      </c>
      <c r="H11" s="22"/>
    </row>
    <row r="12">
      <c r="A12" s="85">
        <v>1.12</v>
      </c>
      <c r="B12" s="86" t="s">
        <v>160</v>
      </c>
      <c r="C12" s="87" t="s">
        <v>161</v>
      </c>
      <c r="D12" s="87" t="s">
        <v>162</v>
      </c>
      <c r="E12" s="88" t="s">
        <v>42</v>
      </c>
      <c r="F12" s="87" t="s">
        <v>163</v>
      </c>
      <c r="G12" s="89">
        <v>12.0</v>
      </c>
      <c r="H12" s="90"/>
    </row>
    <row r="13" ht="21.75" customHeight="1">
      <c r="A13" s="91"/>
      <c r="B13" s="91"/>
      <c r="C13" s="91"/>
      <c r="D13" s="91"/>
      <c r="E13" s="91"/>
      <c r="F13" s="91"/>
      <c r="G13" s="92"/>
      <c r="H13" s="70"/>
    </row>
  </sheetData>
  <hyperlinks>
    <hyperlink r:id="rId4" ref="E3"/>
    <hyperlink r:id="rId5" ref="E12"/>
  </hyperlinks>
  <drawing r:id="rId6"/>
  <legacyDrawing r:id="rId7"/>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5"/>
    <col customWidth="1" min="2" max="2" width="23.5"/>
    <col customWidth="1" min="3" max="3" width="46.63"/>
    <col customWidth="1" min="4" max="4" width="46.75"/>
    <col customWidth="1" min="5" max="5" width="28.5"/>
    <col customWidth="1" min="6" max="6" width="20.88"/>
    <col customWidth="1" min="7" max="7" width="10.5"/>
    <col customWidth="1" min="8" max="8" width="37.75"/>
  </cols>
  <sheetData>
    <row r="1" ht="24.75" customHeight="1">
      <c r="A1" s="5" t="s">
        <v>1</v>
      </c>
      <c r="B1" s="5" t="s">
        <v>5</v>
      </c>
      <c r="C1" s="5" t="s">
        <v>7</v>
      </c>
      <c r="D1" s="5" t="s">
        <v>8</v>
      </c>
      <c r="E1" s="5" t="s">
        <v>9</v>
      </c>
      <c r="F1" s="5" t="s">
        <v>10</v>
      </c>
      <c r="G1" s="8" t="s">
        <v>11</v>
      </c>
      <c r="H1" s="8" t="s">
        <v>12</v>
      </c>
    </row>
    <row r="2">
      <c r="A2" s="25">
        <v>2.1</v>
      </c>
      <c r="B2" s="93" t="s">
        <v>168</v>
      </c>
      <c r="C2" s="93" t="s">
        <v>170</v>
      </c>
      <c r="D2" s="93" t="s">
        <v>171</v>
      </c>
      <c r="E2" s="94" t="s">
        <v>174</v>
      </c>
      <c r="F2" s="44" t="s">
        <v>178</v>
      </c>
      <c r="G2" s="98">
        <v>1.0</v>
      </c>
      <c r="H2" s="101" t="s">
        <v>182</v>
      </c>
    </row>
    <row r="3">
      <c r="A3" s="25">
        <v>2.2</v>
      </c>
      <c r="B3" s="93" t="s">
        <v>186</v>
      </c>
      <c r="C3" s="93" t="s">
        <v>187</v>
      </c>
      <c r="D3" s="93" t="s">
        <v>188</v>
      </c>
      <c r="E3" s="93" t="s">
        <v>189</v>
      </c>
      <c r="F3" s="103"/>
      <c r="G3" s="98">
        <v>2.0</v>
      </c>
      <c r="H3" s="104" t="s">
        <v>193</v>
      </c>
    </row>
    <row r="4">
      <c r="A4" s="25">
        <v>2.3</v>
      </c>
      <c r="B4" s="93" t="s">
        <v>194</v>
      </c>
      <c r="C4" s="93" t="s">
        <v>195</v>
      </c>
      <c r="D4" s="93" t="s">
        <v>196</v>
      </c>
      <c r="E4" s="93" t="s">
        <v>197</v>
      </c>
      <c r="F4" s="103"/>
      <c r="G4" s="98">
        <v>3.0</v>
      </c>
      <c r="H4" s="104" t="s">
        <v>193</v>
      </c>
    </row>
    <row r="5">
      <c r="A5" s="25">
        <v>2.4</v>
      </c>
      <c r="B5" s="93" t="s">
        <v>199</v>
      </c>
      <c r="C5" s="93" t="s">
        <v>201</v>
      </c>
      <c r="D5" s="93" t="s">
        <v>202</v>
      </c>
      <c r="E5" s="93" t="s">
        <v>203</v>
      </c>
      <c r="F5" s="93"/>
      <c r="G5" s="98">
        <v>4.0</v>
      </c>
      <c r="H5" s="105"/>
    </row>
    <row r="6">
      <c r="A6" s="25">
        <v>2.5</v>
      </c>
      <c r="B6" s="93" t="s">
        <v>204</v>
      </c>
      <c r="C6" s="93" t="s">
        <v>205</v>
      </c>
      <c r="D6" s="93" t="s">
        <v>207</v>
      </c>
      <c r="E6" s="93" t="s">
        <v>203</v>
      </c>
      <c r="F6" s="93"/>
      <c r="G6" s="98">
        <v>5.0</v>
      </c>
      <c r="H6" s="105"/>
    </row>
    <row r="7">
      <c r="A7" s="25">
        <v>2.6</v>
      </c>
      <c r="B7" s="93" t="s">
        <v>209</v>
      </c>
      <c r="C7" s="93" t="s">
        <v>210</v>
      </c>
      <c r="D7" s="93" t="s">
        <v>211</v>
      </c>
      <c r="E7" s="106" t="s">
        <v>212</v>
      </c>
      <c r="F7" s="44" t="s">
        <v>178</v>
      </c>
      <c r="G7" s="98">
        <v>6.0</v>
      </c>
      <c r="H7" s="104" t="s">
        <v>215</v>
      </c>
    </row>
    <row r="8">
      <c r="A8" s="64">
        <v>2.7</v>
      </c>
      <c r="B8" s="107" t="s">
        <v>219</v>
      </c>
      <c r="C8" s="107" t="s">
        <v>220</v>
      </c>
      <c r="D8" s="107" t="s">
        <v>54</v>
      </c>
      <c r="E8" s="107" t="s">
        <v>55</v>
      </c>
      <c r="F8" s="108"/>
      <c r="G8" s="109">
        <v>7.0</v>
      </c>
      <c r="H8" s="110"/>
    </row>
    <row r="9">
      <c r="A9" s="64">
        <v>2.8</v>
      </c>
      <c r="B9" s="107" t="s">
        <v>223</v>
      </c>
      <c r="C9" s="107" t="s">
        <v>224</v>
      </c>
      <c r="D9" s="107" t="s">
        <v>225</v>
      </c>
      <c r="E9" s="107" t="s">
        <v>172</v>
      </c>
      <c r="F9" s="108"/>
      <c r="G9" s="109">
        <v>8.0</v>
      </c>
      <c r="H9" s="111" t="s">
        <v>227</v>
      </c>
    </row>
    <row r="10">
      <c r="A10" s="25">
        <v>2.9</v>
      </c>
      <c r="B10" s="93" t="s">
        <v>228</v>
      </c>
      <c r="C10" s="93" t="s">
        <v>229</v>
      </c>
      <c r="D10" s="93" t="s">
        <v>230</v>
      </c>
      <c r="E10" s="93" t="s">
        <v>231</v>
      </c>
      <c r="F10" s="44" t="s">
        <v>178</v>
      </c>
      <c r="G10" s="98">
        <v>9.0</v>
      </c>
      <c r="H10" s="101" t="s">
        <v>233</v>
      </c>
    </row>
    <row r="11">
      <c r="A11" s="64">
        <v>2.11</v>
      </c>
      <c r="B11" s="107" t="s">
        <v>234</v>
      </c>
      <c r="C11" s="107" t="s">
        <v>235</v>
      </c>
      <c r="D11" s="107" t="s">
        <v>236</v>
      </c>
      <c r="E11" s="107" t="s">
        <v>237</v>
      </c>
      <c r="F11" s="107" t="s">
        <v>239</v>
      </c>
      <c r="G11" s="109">
        <v>10.0</v>
      </c>
      <c r="H11" s="110"/>
    </row>
    <row r="12">
      <c r="A12" s="25">
        <v>2.12</v>
      </c>
      <c r="B12" s="93" t="s">
        <v>240</v>
      </c>
      <c r="C12" s="93" t="s">
        <v>241</v>
      </c>
      <c r="D12" s="93" t="s">
        <v>242</v>
      </c>
      <c r="E12" s="93" t="s">
        <v>243</v>
      </c>
      <c r="F12" s="93" t="s">
        <v>239</v>
      </c>
      <c r="G12" s="98">
        <v>11.0</v>
      </c>
      <c r="H12" s="105"/>
    </row>
    <row r="13">
      <c r="A13" s="25">
        <v>2.13</v>
      </c>
      <c r="B13" s="93" t="s">
        <v>244</v>
      </c>
      <c r="C13" s="93" t="s">
        <v>245</v>
      </c>
      <c r="D13" s="93" t="s">
        <v>246</v>
      </c>
      <c r="E13" s="93" t="s">
        <v>247</v>
      </c>
      <c r="F13" s="44" t="s">
        <v>248</v>
      </c>
      <c r="G13" s="98">
        <v>12.0</v>
      </c>
      <c r="H13" s="101" t="s">
        <v>250</v>
      </c>
    </row>
    <row r="14">
      <c r="A14" s="91"/>
      <c r="B14" s="110"/>
      <c r="C14" s="110"/>
      <c r="D14" s="110"/>
      <c r="E14" s="122"/>
      <c r="F14" s="110"/>
      <c r="G14" s="124"/>
      <c r="H14" s="110"/>
    </row>
    <row r="15">
      <c r="A15" s="91"/>
      <c r="B15" s="110"/>
      <c r="C15" s="110"/>
      <c r="D15" s="110"/>
      <c r="E15" s="122"/>
      <c r="F15" s="110"/>
      <c r="G15" s="124"/>
      <c r="H15" s="110"/>
    </row>
    <row r="16">
      <c r="A16" s="110"/>
      <c r="B16" s="110"/>
      <c r="C16" s="110"/>
      <c r="D16" s="110"/>
      <c r="E16" s="122"/>
      <c r="F16" s="110"/>
      <c r="G16" s="124"/>
      <c r="H16" s="110"/>
    </row>
  </sheetData>
  <hyperlinks>
    <hyperlink r:id="rId1" ref="E2"/>
    <hyperlink r:id="rId2" ref="F2"/>
    <hyperlink r:id="rId3" ref="H2"/>
    <hyperlink r:id="rId4" ref="E7"/>
    <hyperlink r:id="rId5" ref="F7"/>
    <hyperlink r:id="rId6" ref="F10"/>
    <hyperlink r:id="rId7" ref="H10"/>
    <hyperlink r:id="rId8" ref="F13"/>
    <hyperlink r:id="rId9" ref="H13"/>
  </hyperlinks>
  <drawing r:id="rId10"/>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75"/>
    <col customWidth="1" min="2" max="2" width="23.0"/>
    <col customWidth="1" min="3" max="3" width="39.63"/>
    <col customWidth="1" min="4" max="4" width="77.63"/>
    <col customWidth="1" min="5" max="5" width="19.0"/>
    <col customWidth="1" min="6" max="6" width="16.13"/>
    <col customWidth="1" min="7" max="7" width="15.63"/>
    <col customWidth="1" min="8" max="8" width="29.25"/>
  </cols>
  <sheetData>
    <row r="1" ht="24.75" customHeight="1">
      <c r="A1" s="8" t="s">
        <v>1</v>
      </c>
      <c r="B1" s="8" t="s">
        <v>5</v>
      </c>
      <c r="C1" s="8" t="s">
        <v>7</v>
      </c>
      <c r="D1" s="8" t="s">
        <v>8</v>
      </c>
      <c r="E1" s="8" t="s">
        <v>9</v>
      </c>
      <c r="F1" s="8" t="s">
        <v>10</v>
      </c>
      <c r="G1" s="8" t="s">
        <v>11</v>
      </c>
      <c r="H1" s="8" t="s">
        <v>12</v>
      </c>
    </row>
    <row r="2">
      <c r="A2" s="27">
        <v>3.1</v>
      </c>
      <c r="B2" s="129" t="s">
        <v>268</v>
      </c>
      <c r="C2" s="129" t="s">
        <v>271</v>
      </c>
      <c r="D2" s="129" t="s">
        <v>273</v>
      </c>
      <c r="E2" s="44" t="s">
        <v>275</v>
      </c>
      <c r="F2" s="129" t="s">
        <v>283</v>
      </c>
      <c r="G2" s="131">
        <v>1.0</v>
      </c>
      <c r="H2" s="101" t="s">
        <v>284</v>
      </c>
    </row>
    <row r="3">
      <c r="A3" s="132">
        <v>3.2</v>
      </c>
      <c r="B3" s="133" t="s">
        <v>285</v>
      </c>
      <c r="C3" s="133" t="s">
        <v>286</v>
      </c>
      <c r="D3" s="133" t="s">
        <v>287</v>
      </c>
      <c r="E3" s="135" t="s">
        <v>26</v>
      </c>
      <c r="F3" s="133" t="s">
        <v>288</v>
      </c>
      <c r="G3" s="136">
        <v>2.0</v>
      </c>
      <c r="H3" s="137"/>
    </row>
    <row r="4">
      <c r="A4" s="14">
        <v>3.3</v>
      </c>
      <c r="B4" s="139" t="s">
        <v>289</v>
      </c>
      <c r="C4" s="139" t="s">
        <v>290</v>
      </c>
      <c r="D4" s="139" t="s">
        <v>291</v>
      </c>
      <c r="E4" s="142" t="s">
        <v>130</v>
      </c>
      <c r="F4" s="139"/>
      <c r="G4" s="143">
        <v>3.0</v>
      </c>
      <c r="H4" s="144"/>
    </row>
    <row r="5">
      <c r="A5" s="132">
        <v>3.4</v>
      </c>
      <c r="B5" s="133" t="s">
        <v>297</v>
      </c>
      <c r="C5" s="133" t="s">
        <v>298</v>
      </c>
      <c r="D5" s="133" t="s">
        <v>299</v>
      </c>
      <c r="E5" s="135" t="s">
        <v>130</v>
      </c>
      <c r="F5" s="133"/>
      <c r="G5" s="136">
        <v>4.0</v>
      </c>
      <c r="H5" s="137"/>
    </row>
    <row r="6">
      <c r="A6" s="14">
        <v>3.5</v>
      </c>
      <c r="B6" s="139" t="s">
        <v>300</v>
      </c>
      <c r="C6" s="139" t="s">
        <v>301</v>
      </c>
      <c r="D6" s="139" t="s">
        <v>302</v>
      </c>
      <c r="E6" s="142" t="s">
        <v>26</v>
      </c>
      <c r="F6" s="139" t="s">
        <v>303</v>
      </c>
      <c r="G6" s="143">
        <v>5.0</v>
      </c>
      <c r="H6" s="144"/>
    </row>
    <row r="7">
      <c r="A7" s="14">
        <v>3.6</v>
      </c>
      <c r="B7" s="139" t="s">
        <v>304</v>
      </c>
      <c r="C7" s="139" t="s">
        <v>305</v>
      </c>
      <c r="D7" s="139" t="s">
        <v>306</v>
      </c>
      <c r="E7" s="142" t="s">
        <v>130</v>
      </c>
      <c r="F7" s="139"/>
      <c r="G7" s="143">
        <v>6.0</v>
      </c>
      <c r="H7" s="144"/>
    </row>
    <row r="8">
      <c r="A8" s="14">
        <v>3.7</v>
      </c>
      <c r="B8" s="139" t="s">
        <v>307</v>
      </c>
      <c r="C8" s="139" t="s">
        <v>308</v>
      </c>
      <c r="D8" s="139" t="s">
        <v>309</v>
      </c>
      <c r="E8" s="142" t="s">
        <v>26</v>
      </c>
      <c r="F8" s="139"/>
      <c r="G8" s="143">
        <v>7.0</v>
      </c>
      <c r="H8" s="144"/>
    </row>
    <row r="9">
      <c r="A9" s="14">
        <v>3.9</v>
      </c>
      <c r="B9" s="139" t="s">
        <v>310</v>
      </c>
      <c r="C9" s="139" t="s">
        <v>311</v>
      </c>
      <c r="D9" s="139" t="s">
        <v>312</v>
      </c>
      <c r="E9" s="148" t="s">
        <v>313</v>
      </c>
      <c r="F9" s="139"/>
      <c r="G9" s="143">
        <v>9.0</v>
      </c>
      <c r="H9" s="144"/>
    </row>
    <row r="10">
      <c r="A10" s="14">
        <v>3.11</v>
      </c>
      <c r="B10" s="139" t="s">
        <v>317</v>
      </c>
      <c r="C10" s="139" t="s">
        <v>319</v>
      </c>
      <c r="D10" s="139" t="s">
        <v>320</v>
      </c>
      <c r="E10" s="142" t="s">
        <v>130</v>
      </c>
      <c r="F10" s="139"/>
      <c r="G10" s="143">
        <v>10.0</v>
      </c>
      <c r="H10" s="144"/>
    </row>
    <row r="11">
      <c r="A11" s="132">
        <v>3.12</v>
      </c>
      <c r="B11" s="133" t="s">
        <v>322</v>
      </c>
      <c r="C11" s="133" t="s">
        <v>323</v>
      </c>
      <c r="D11" s="133" t="s">
        <v>324</v>
      </c>
      <c r="E11" s="135" t="s">
        <v>26</v>
      </c>
      <c r="F11" s="133" t="s">
        <v>325</v>
      </c>
      <c r="G11" s="136">
        <v>11.0</v>
      </c>
      <c r="H11" s="137"/>
    </row>
    <row r="12">
      <c r="A12" s="132">
        <v>3.13</v>
      </c>
      <c r="B12" s="133" t="s">
        <v>326</v>
      </c>
      <c r="C12" s="133" t="s">
        <v>327</v>
      </c>
      <c r="D12" s="133" t="s">
        <v>328</v>
      </c>
      <c r="E12" s="135"/>
      <c r="F12" s="133"/>
      <c r="G12" s="136">
        <v>12.0</v>
      </c>
      <c r="H12" s="137"/>
    </row>
    <row r="13">
      <c r="A13" s="14">
        <v>3.14</v>
      </c>
      <c r="B13" s="139" t="s">
        <v>329</v>
      </c>
      <c r="C13" s="139" t="s">
        <v>330</v>
      </c>
      <c r="D13" s="139" t="s">
        <v>331</v>
      </c>
      <c r="E13" s="142" t="s">
        <v>130</v>
      </c>
      <c r="F13" s="139"/>
      <c r="G13" s="143">
        <v>13.0</v>
      </c>
      <c r="H13" s="144"/>
    </row>
    <row r="14">
      <c r="A14" s="149"/>
      <c r="B14" s="110"/>
      <c r="C14" s="110"/>
      <c r="D14" s="110"/>
      <c r="E14" s="110"/>
      <c r="F14" s="110"/>
      <c r="G14" s="124"/>
      <c r="H14" s="110"/>
    </row>
    <row r="15">
      <c r="A15" s="151"/>
      <c r="B15" s="110"/>
      <c r="C15" s="110"/>
      <c r="D15" s="110"/>
      <c r="E15" s="110"/>
      <c r="F15" s="110"/>
      <c r="G15" s="124"/>
      <c r="H15" s="110"/>
    </row>
  </sheetData>
  <hyperlinks>
    <hyperlink r:id="rId1" ref="E2"/>
    <hyperlink r:id="rId2" ref="H2"/>
  </hyperlinks>
  <printOptions gridLines="1" horizontalCentered="1"/>
  <pageMargins bottom="0.75" footer="0.0" header="0.0" left="0.7" right="0.7" top="0.75"/>
  <pageSetup fitToHeight="0" cellComments="atEnd" orientation="landscape" pageOrder="overThenDown"/>
  <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25"/>
    <col customWidth="1" min="2" max="2" width="24.5"/>
    <col customWidth="1" min="3" max="3" width="52.13"/>
    <col customWidth="1" min="4" max="4" width="73.63"/>
    <col customWidth="1" min="5" max="5" width="21.75"/>
    <col customWidth="1" min="6" max="6" width="12.25"/>
    <col customWidth="1" min="7" max="7" width="7.75"/>
    <col customWidth="1" min="8" max="8" width="28.0"/>
  </cols>
  <sheetData>
    <row r="1">
      <c r="A1" s="134" t="s">
        <v>1</v>
      </c>
      <c r="B1" s="134" t="s">
        <v>5</v>
      </c>
      <c r="C1" s="134" t="s">
        <v>7</v>
      </c>
      <c r="D1" s="134" t="s">
        <v>8</v>
      </c>
      <c r="E1" s="134" t="s">
        <v>9</v>
      </c>
      <c r="F1" s="134" t="s">
        <v>10</v>
      </c>
      <c r="G1" s="138" t="s">
        <v>11</v>
      </c>
      <c r="H1" s="138" t="s">
        <v>12</v>
      </c>
    </row>
    <row r="2">
      <c r="A2" s="140">
        <v>4.2</v>
      </c>
      <c r="B2" s="141" t="s">
        <v>292</v>
      </c>
      <c r="C2" s="141" t="s">
        <v>293</v>
      </c>
      <c r="D2" s="141" t="s">
        <v>294</v>
      </c>
      <c r="E2" s="139" t="s">
        <v>295</v>
      </c>
      <c r="F2" s="145" t="s">
        <v>296</v>
      </c>
      <c r="G2" s="143">
        <v>2.0</v>
      </c>
      <c r="H2" s="146"/>
    </row>
    <row r="3">
      <c r="A3" s="147">
        <v>4.3</v>
      </c>
      <c r="B3" s="141" t="s">
        <v>314</v>
      </c>
      <c r="C3" s="141" t="s">
        <v>315</v>
      </c>
      <c r="D3" s="141" t="s">
        <v>316</v>
      </c>
      <c r="E3" s="129" t="s">
        <v>318</v>
      </c>
      <c r="F3" s="152" t="s">
        <v>321</v>
      </c>
      <c r="G3" s="131">
        <v>3.0</v>
      </c>
      <c r="H3" s="153"/>
    </row>
    <row r="4">
      <c r="A4" s="147">
        <v>4.4</v>
      </c>
      <c r="B4" s="141" t="s">
        <v>336</v>
      </c>
      <c r="C4" s="141" t="s">
        <v>337</v>
      </c>
      <c r="D4" s="141" t="s">
        <v>338</v>
      </c>
      <c r="E4" s="129" t="s">
        <v>339</v>
      </c>
      <c r="F4" s="152" t="s">
        <v>340</v>
      </c>
      <c r="G4" s="131">
        <v>4.0</v>
      </c>
      <c r="H4" s="160" t="s">
        <v>350</v>
      </c>
    </row>
    <row r="5">
      <c r="A5" s="162">
        <v>4.5</v>
      </c>
      <c r="B5" s="164" t="s">
        <v>352</v>
      </c>
      <c r="C5" s="166" t="s">
        <v>354</v>
      </c>
      <c r="D5" s="166" t="s">
        <v>357</v>
      </c>
      <c r="E5" s="166" t="s">
        <v>358</v>
      </c>
      <c r="F5" s="166" t="s">
        <v>359</v>
      </c>
      <c r="G5" s="170">
        <v>5.0</v>
      </c>
      <c r="H5" s="173"/>
    </row>
    <row r="6">
      <c r="A6" s="162">
        <v>4.6</v>
      </c>
      <c r="B6" s="166" t="s">
        <v>364</v>
      </c>
      <c r="C6" s="166" t="s">
        <v>366</v>
      </c>
      <c r="D6" s="166" t="s">
        <v>367</v>
      </c>
      <c r="E6" s="166" t="s">
        <v>358</v>
      </c>
      <c r="F6" s="166" t="s">
        <v>359</v>
      </c>
      <c r="G6" s="170">
        <v>6.0</v>
      </c>
      <c r="H6" s="173"/>
    </row>
    <row r="7">
      <c r="A7" s="162">
        <v>4.7</v>
      </c>
      <c r="B7" s="166" t="s">
        <v>373</v>
      </c>
      <c r="C7" s="166" t="s">
        <v>375</v>
      </c>
      <c r="D7" s="166" t="s">
        <v>376</v>
      </c>
      <c r="E7" s="166" t="s">
        <v>26</v>
      </c>
      <c r="F7" s="166" t="s">
        <v>359</v>
      </c>
      <c r="G7" s="170">
        <v>7.0</v>
      </c>
      <c r="H7" s="173"/>
    </row>
    <row r="8">
      <c r="A8" s="140">
        <v>4.8</v>
      </c>
      <c r="B8" s="141" t="s">
        <v>379</v>
      </c>
      <c r="C8" s="141" t="s">
        <v>381</v>
      </c>
      <c r="D8" s="141" t="s">
        <v>382</v>
      </c>
      <c r="E8" s="139" t="s">
        <v>358</v>
      </c>
      <c r="F8" s="139" t="s">
        <v>359</v>
      </c>
      <c r="G8" s="143">
        <v>9.0</v>
      </c>
      <c r="H8" s="178"/>
    </row>
    <row r="9">
      <c r="A9" s="140">
        <v>4.9</v>
      </c>
      <c r="B9" s="139" t="s">
        <v>388</v>
      </c>
      <c r="C9" s="139" t="s">
        <v>389</v>
      </c>
      <c r="D9" s="139" t="s">
        <v>390</v>
      </c>
      <c r="E9" s="139" t="s">
        <v>392</v>
      </c>
      <c r="F9" s="139" t="s">
        <v>393</v>
      </c>
      <c r="G9" s="143">
        <v>10.0</v>
      </c>
      <c r="H9" s="178"/>
    </row>
    <row r="10">
      <c r="A10" s="181">
        <v>4.11</v>
      </c>
      <c r="B10" s="182" t="s">
        <v>396</v>
      </c>
      <c r="C10" s="164" t="s">
        <v>399</v>
      </c>
      <c r="D10" s="164" t="s">
        <v>400</v>
      </c>
      <c r="E10" s="164" t="s">
        <v>358</v>
      </c>
      <c r="F10" s="139" t="s">
        <v>359</v>
      </c>
      <c r="G10" s="143">
        <v>13.0</v>
      </c>
      <c r="H10" s="178"/>
    </row>
    <row r="11">
      <c r="A11" s="162">
        <v>4.12</v>
      </c>
      <c r="B11" s="141" t="s">
        <v>401</v>
      </c>
      <c r="C11" s="141" t="s">
        <v>402</v>
      </c>
      <c r="D11" s="141" t="s">
        <v>403</v>
      </c>
      <c r="E11" s="166" t="s">
        <v>404</v>
      </c>
      <c r="F11" s="166" t="s">
        <v>359</v>
      </c>
      <c r="G11" s="170">
        <v>14.0</v>
      </c>
      <c r="H11" s="173"/>
    </row>
    <row r="12">
      <c r="A12" s="162">
        <v>4.13</v>
      </c>
      <c r="B12" s="166" t="s">
        <v>405</v>
      </c>
      <c r="C12" s="166" t="s">
        <v>406</v>
      </c>
      <c r="D12" s="166" t="s">
        <v>407</v>
      </c>
      <c r="E12" s="166" t="s">
        <v>408</v>
      </c>
      <c r="F12" s="166" t="s">
        <v>359</v>
      </c>
      <c r="G12" s="170">
        <v>15.0</v>
      </c>
      <c r="H12" s="173"/>
    </row>
    <row r="13">
      <c r="A13" s="140">
        <v>4.14</v>
      </c>
      <c r="B13" s="139" t="s">
        <v>409</v>
      </c>
      <c r="C13" s="139" t="s">
        <v>410</v>
      </c>
      <c r="D13" s="139" t="s">
        <v>411</v>
      </c>
      <c r="E13" s="139" t="s">
        <v>412</v>
      </c>
      <c r="F13" s="139" t="s">
        <v>359</v>
      </c>
      <c r="G13" s="143">
        <v>16.0</v>
      </c>
      <c r="H13" s="178"/>
    </row>
    <row r="14">
      <c r="A14" s="181">
        <v>4.15</v>
      </c>
      <c r="B14" s="164" t="s">
        <v>413</v>
      </c>
      <c r="C14" s="164" t="s">
        <v>415</v>
      </c>
      <c r="D14" s="164" t="s">
        <v>416</v>
      </c>
      <c r="E14" s="190" t="s">
        <v>417</v>
      </c>
      <c r="F14" s="139" t="s">
        <v>421</v>
      </c>
      <c r="G14" s="143">
        <v>17.0</v>
      </c>
      <c r="H14" s="194" t="s">
        <v>422</v>
      </c>
    </row>
    <row r="15">
      <c r="A15" s="196"/>
      <c r="B15" s="196"/>
      <c r="C15" s="196"/>
      <c r="D15" s="196"/>
      <c r="E15" s="199"/>
      <c r="F15" s="196"/>
      <c r="G15" s="200"/>
      <c r="H15" s="196"/>
    </row>
    <row r="16">
      <c r="A16" s="196"/>
      <c r="B16" s="196"/>
      <c r="C16" s="196"/>
      <c r="D16" s="196"/>
      <c r="E16" s="199"/>
      <c r="F16" s="196"/>
      <c r="G16" s="200"/>
      <c r="H16" s="196"/>
    </row>
    <row r="17">
      <c r="A17" s="201"/>
      <c r="B17" s="201"/>
      <c r="C17" s="201"/>
      <c r="D17" s="201"/>
      <c r="E17" s="202"/>
      <c r="F17" s="201"/>
      <c r="G17" s="204"/>
      <c r="H17" s="201"/>
    </row>
    <row r="18">
      <c r="A18" s="201"/>
      <c r="B18" s="201"/>
      <c r="C18" s="201"/>
      <c r="D18" s="201"/>
      <c r="E18" s="202"/>
      <c r="F18" s="201"/>
      <c r="G18" s="204"/>
      <c r="H18" s="201"/>
    </row>
    <row r="19">
      <c r="A19" s="201"/>
      <c r="B19" s="201"/>
      <c r="C19" s="201"/>
      <c r="D19" s="201"/>
      <c r="E19" s="202"/>
      <c r="F19" s="201"/>
      <c r="G19" s="204"/>
      <c r="H19" s="201"/>
    </row>
    <row r="20">
      <c r="A20" s="201"/>
      <c r="B20" s="201"/>
      <c r="C20" s="201"/>
      <c r="D20" s="201"/>
      <c r="E20" s="202"/>
      <c r="F20" s="201"/>
      <c r="G20" s="204"/>
      <c r="H20" s="201"/>
    </row>
    <row r="21">
      <c r="A21" s="201"/>
      <c r="B21" s="201"/>
      <c r="C21" s="201"/>
      <c r="D21" s="201"/>
      <c r="E21" s="202"/>
      <c r="F21" s="201"/>
      <c r="G21" s="204"/>
      <c r="H21" s="201"/>
    </row>
    <row r="22">
      <c r="A22" s="201"/>
      <c r="B22" s="201"/>
      <c r="C22" s="201"/>
      <c r="D22" s="201"/>
      <c r="E22" s="202"/>
      <c r="F22" s="201"/>
      <c r="G22" s="204"/>
      <c r="H22" s="201"/>
    </row>
    <row r="23">
      <c r="A23" s="201"/>
      <c r="B23" s="201"/>
      <c r="C23" s="201"/>
      <c r="D23" s="201"/>
      <c r="E23" s="202"/>
      <c r="F23" s="201"/>
      <c r="G23" s="204"/>
      <c r="H23" s="201"/>
    </row>
    <row r="24">
      <c r="A24" s="201"/>
      <c r="B24" s="201"/>
      <c r="C24" s="201"/>
      <c r="D24" s="201"/>
      <c r="E24" s="202"/>
      <c r="F24" s="201"/>
      <c r="G24" s="204"/>
      <c r="H24" s="201"/>
    </row>
    <row r="25">
      <c r="A25" s="201"/>
      <c r="B25" s="201"/>
      <c r="C25" s="201"/>
      <c r="D25" s="201"/>
      <c r="E25" s="202"/>
      <c r="F25" s="201"/>
      <c r="G25" s="204"/>
      <c r="H25" s="201"/>
    </row>
    <row r="26">
      <c r="A26" s="201"/>
      <c r="B26" s="201"/>
      <c r="C26" s="201"/>
      <c r="D26" s="201"/>
      <c r="E26" s="202"/>
      <c r="F26" s="201"/>
      <c r="G26" s="204"/>
      <c r="H26" s="201"/>
    </row>
    <row r="27">
      <c r="A27" s="201"/>
      <c r="B27" s="201"/>
      <c r="C27" s="201"/>
      <c r="D27" s="201"/>
      <c r="E27" s="202"/>
      <c r="F27" s="201"/>
      <c r="G27" s="204"/>
      <c r="H27" s="201"/>
    </row>
    <row r="28">
      <c r="A28" s="201"/>
      <c r="B28" s="201"/>
      <c r="C28" s="201"/>
      <c r="D28" s="201"/>
      <c r="E28" s="202"/>
      <c r="F28" s="201"/>
      <c r="G28" s="204"/>
      <c r="H28" s="201"/>
    </row>
    <row r="29">
      <c r="A29" s="201"/>
      <c r="B29" s="201"/>
      <c r="C29" s="201"/>
      <c r="D29" s="201"/>
      <c r="E29" s="202"/>
      <c r="F29" s="201"/>
      <c r="G29" s="204"/>
      <c r="H29" s="201"/>
    </row>
    <row r="30">
      <c r="A30" s="201"/>
      <c r="B30" s="201"/>
      <c r="C30" s="201"/>
      <c r="D30" s="201"/>
      <c r="E30" s="202"/>
      <c r="F30" s="201"/>
      <c r="G30" s="204"/>
      <c r="H30" s="201"/>
    </row>
    <row r="31">
      <c r="A31" s="201"/>
      <c r="B31" s="201"/>
      <c r="C31" s="201"/>
      <c r="D31" s="201"/>
      <c r="E31" s="202"/>
      <c r="F31" s="201"/>
      <c r="G31" s="204"/>
      <c r="H31" s="201"/>
    </row>
    <row r="32">
      <c r="A32" s="201"/>
      <c r="B32" s="201"/>
      <c r="C32" s="201"/>
      <c r="D32" s="201"/>
      <c r="E32" s="202"/>
      <c r="F32" s="201"/>
      <c r="G32" s="204"/>
      <c r="H32" s="201"/>
    </row>
    <row r="33">
      <c r="A33" s="201"/>
      <c r="B33" s="201"/>
      <c r="C33" s="201"/>
      <c r="D33" s="201"/>
      <c r="E33" s="202"/>
      <c r="F33" s="201"/>
      <c r="G33" s="204"/>
      <c r="H33" s="201"/>
    </row>
    <row r="34">
      <c r="A34" s="201"/>
      <c r="B34" s="201"/>
      <c r="C34" s="201"/>
      <c r="D34" s="201"/>
      <c r="E34" s="202"/>
      <c r="F34" s="201"/>
      <c r="G34" s="204"/>
      <c r="H34" s="201"/>
    </row>
    <row r="35">
      <c r="A35" s="201"/>
      <c r="B35" s="201"/>
      <c r="C35" s="201"/>
      <c r="D35" s="201"/>
      <c r="E35" s="202"/>
      <c r="F35" s="201"/>
      <c r="G35" s="204"/>
      <c r="H35" s="201"/>
    </row>
    <row r="36">
      <c r="A36" s="201"/>
      <c r="B36" s="201"/>
      <c r="C36" s="201"/>
      <c r="D36" s="201"/>
      <c r="E36" s="202"/>
      <c r="F36" s="201"/>
      <c r="G36" s="204"/>
      <c r="H36" s="201"/>
    </row>
    <row r="37">
      <c r="A37" s="201"/>
      <c r="B37" s="201"/>
      <c r="C37" s="201"/>
      <c r="D37" s="201"/>
      <c r="E37" s="202"/>
      <c r="F37" s="201"/>
      <c r="G37" s="204"/>
      <c r="H37" s="201"/>
    </row>
    <row r="38">
      <c r="A38" s="201"/>
      <c r="B38" s="201"/>
      <c r="C38" s="201"/>
      <c r="D38" s="201"/>
      <c r="E38" s="202"/>
      <c r="F38" s="201"/>
      <c r="G38" s="204"/>
      <c r="H38" s="201"/>
    </row>
    <row r="39">
      <c r="A39" s="201"/>
      <c r="B39" s="201"/>
      <c r="C39" s="201"/>
      <c r="D39" s="201"/>
      <c r="E39" s="202"/>
      <c r="F39" s="201"/>
      <c r="G39" s="204"/>
      <c r="H39" s="201"/>
    </row>
    <row r="40">
      <c r="A40" s="201"/>
      <c r="B40" s="201"/>
      <c r="C40" s="201"/>
      <c r="D40" s="201"/>
      <c r="E40" s="202"/>
      <c r="F40" s="201"/>
      <c r="G40" s="204"/>
      <c r="H40" s="201"/>
    </row>
    <row r="41">
      <c r="A41" s="201"/>
      <c r="B41" s="201"/>
      <c r="C41" s="201"/>
      <c r="D41" s="201"/>
      <c r="E41" s="202"/>
      <c r="F41" s="201"/>
      <c r="G41" s="204"/>
      <c r="H41" s="201"/>
    </row>
    <row r="42">
      <c r="A42" s="201"/>
      <c r="B42" s="201"/>
      <c r="C42" s="201"/>
      <c r="D42" s="201"/>
      <c r="E42" s="202"/>
      <c r="F42" s="201"/>
      <c r="G42" s="204"/>
      <c r="H42" s="201"/>
    </row>
    <row r="43">
      <c r="A43" s="201"/>
      <c r="B43" s="201"/>
      <c r="C43" s="201"/>
      <c r="D43" s="201"/>
      <c r="E43" s="202"/>
      <c r="F43" s="201"/>
      <c r="G43" s="204"/>
      <c r="H43" s="201"/>
    </row>
    <row r="44">
      <c r="A44" s="201"/>
      <c r="B44" s="201"/>
      <c r="C44" s="201"/>
      <c r="D44" s="201"/>
      <c r="E44" s="202"/>
      <c r="F44" s="201"/>
      <c r="G44" s="204"/>
      <c r="H44" s="201"/>
    </row>
    <row r="45">
      <c r="A45" s="201"/>
      <c r="B45" s="201"/>
      <c r="C45" s="201"/>
      <c r="D45" s="201"/>
      <c r="E45" s="202"/>
      <c r="F45" s="201"/>
      <c r="G45" s="204"/>
      <c r="H45" s="201"/>
    </row>
    <row r="46">
      <c r="A46" s="201"/>
      <c r="B46" s="201"/>
      <c r="C46" s="201"/>
      <c r="D46" s="201"/>
      <c r="E46" s="202"/>
      <c r="F46" s="201"/>
      <c r="G46" s="204"/>
      <c r="H46" s="201"/>
    </row>
    <row r="47">
      <c r="A47" s="201"/>
      <c r="B47" s="201"/>
      <c r="C47" s="201"/>
      <c r="D47" s="201"/>
      <c r="E47" s="202"/>
      <c r="F47" s="201"/>
      <c r="G47" s="204"/>
      <c r="H47" s="201"/>
    </row>
    <row r="48">
      <c r="A48" s="201"/>
      <c r="B48" s="201"/>
      <c r="C48" s="201"/>
      <c r="D48" s="201"/>
      <c r="E48" s="202"/>
      <c r="F48" s="201"/>
      <c r="G48" s="204"/>
      <c r="H48" s="201"/>
    </row>
    <row r="49">
      <c r="A49" s="201"/>
      <c r="B49" s="201"/>
      <c r="C49" s="201"/>
      <c r="D49" s="201"/>
      <c r="E49" s="202"/>
      <c r="F49" s="201"/>
      <c r="G49" s="204"/>
      <c r="H49" s="201"/>
    </row>
    <row r="50">
      <c r="A50" s="201"/>
      <c r="B50" s="201"/>
      <c r="C50" s="201"/>
      <c r="D50" s="201"/>
      <c r="E50" s="202"/>
      <c r="F50" s="201"/>
      <c r="G50" s="204"/>
      <c r="H50" s="201"/>
    </row>
    <row r="51">
      <c r="A51" s="201"/>
      <c r="B51" s="201"/>
      <c r="C51" s="201"/>
      <c r="D51" s="201"/>
      <c r="E51" s="202"/>
      <c r="F51" s="201"/>
      <c r="G51" s="204"/>
      <c r="H51" s="201"/>
    </row>
    <row r="52">
      <c r="A52" s="201"/>
      <c r="B52" s="201"/>
      <c r="C52" s="201"/>
      <c r="D52" s="201"/>
      <c r="E52" s="202"/>
      <c r="F52" s="201"/>
      <c r="G52" s="204"/>
      <c r="H52" s="201"/>
    </row>
    <row r="53">
      <c r="A53" s="201"/>
      <c r="B53" s="201"/>
      <c r="C53" s="201"/>
      <c r="D53" s="201"/>
      <c r="E53" s="202"/>
      <c r="F53" s="201"/>
      <c r="G53" s="204"/>
      <c r="H53" s="201"/>
    </row>
    <row r="54">
      <c r="A54" s="201"/>
      <c r="B54" s="201"/>
      <c r="C54" s="201"/>
      <c r="D54" s="201"/>
      <c r="E54" s="202"/>
      <c r="F54" s="201"/>
      <c r="G54" s="204"/>
      <c r="H54" s="201"/>
    </row>
    <row r="55">
      <c r="A55" s="201"/>
      <c r="B55" s="201"/>
      <c r="C55" s="201"/>
      <c r="D55" s="201"/>
      <c r="E55" s="202"/>
      <c r="F55" s="201"/>
      <c r="G55" s="204"/>
      <c r="H55" s="201"/>
    </row>
    <row r="56">
      <c r="A56" s="201"/>
      <c r="B56" s="201"/>
      <c r="C56" s="201"/>
      <c r="D56" s="201"/>
      <c r="E56" s="202"/>
      <c r="F56" s="201"/>
      <c r="G56" s="204"/>
      <c r="H56" s="201"/>
    </row>
    <row r="57">
      <c r="A57" s="201"/>
      <c r="B57" s="201"/>
      <c r="C57" s="201"/>
      <c r="D57" s="201"/>
      <c r="E57" s="202"/>
      <c r="F57" s="201"/>
      <c r="G57" s="204"/>
      <c r="H57" s="201"/>
    </row>
    <row r="58">
      <c r="A58" s="201"/>
      <c r="B58" s="201"/>
      <c r="C58" s="201"/>
      <c r="D58" s="201"/>
      <c r="E58" s="202"/>
      <c r="F58" s="201"/>
      <c r="G58" s="204"/>
      <c r="H58" s="201"/>
    </row>
    <row r="59">
      <c r="A59" s="201"/>
      <c r="B59" s="201"/>
      <c r="C59" s="201"/>
      <c r="D59" s="201"/>
      <c r="E59" s="202"/>
      <c r="F59" s="201"/>
      <c r="G59" s="204"/>
      <c r="H59" s="201"/>
    </row>
    <row r="60">
      <c r="A60" s="201"/>
      <c r="B60" s="201"/>
      <c r="C60" s="201"/>
      <c r="D60" s="201"/>
      <c r="E60" s="202"/>
      <c r="F60" s="201"/>
      <c r="G60" s="204"/>
      <c r="H60" s="201"/>
    </row>
    <row r="61">
      <c r="A61" s="201"/>
      <c r="B61" s="201"/>
      <c r="C61" s="201"/>
      <c r="D61" s="201"/>
      <c r="E61" s="202"/>
      <c r="F61" s="201"/>
      <c r="G61" s="204"/>
      <c r="H61" s="201"/>
    </row>
    <row r="62">
      <c r="A62" s="201"/>
      <c r="B62" s="201"/>
      <c r="C62" s="201"/>
      <c r="D62" s="201"/>
      <c r="E62" s="202"/>
      <c r="F62" s="201"/>
      <c r="G62" s="204"/>
      <c r="H62" s="201"/>
    </row>
    <row r="63">
      <c r="A63" s="201"/>
      <c r="B63" s="201"/>
      <c r="C63" s="201"/>
      <c r="D63" s="201"/>
      <c r="E63" s="202"/>
      <c r="F63" s="201"/>
      <c r="G63" s="204"/>
      <c r="H63" s="201"/>
    </row>
    <row r="64">
      <c r="A64" s="201"/>
      <c r="B64" s="201"/>
      <c r="C64" s="201"/>
      <c r="D64" s="201"/>
      <c r="E64" s="202"/>
      <c r="F64" s="201"/>
      <c r="G64" s="204"/>
      <c r="H64" s="201"/>
    </row>
    <row r="65">
      <c r="A65" s="201"/>
      <c r="B65" s="201"/>
      <c r="C65" s="201"/>
      <c r="D65" s="201"/>
      <c r="E65" s="202"/>
      <c r="F65" s="201"/>
      <c r="G65" s="204"/>
      <c r="H65" s="201"/>
    </row>
    <row r="66">
      <c r="A66" s="201"/>
      <c r="B66" s="201"/>
      <c r="C66" s="201"/>
      <c r="D66" s="201"/>
      <c r="E66" s="202"/>
      <c r="F66" s="201"/>
      <c r="G66" s="204"/>
      <c r="H66" s="201"/>
    </row>
    <row r="67">
      <c r="A67" s="201"/>
      <c r="B67" s="201"/>
      <c r="C67" s="201"/>
      <c r="D67" s="201"/>
      <c r="E67" s="202"/>
      <c r="F67" s="201"/>
      <c r="G67" s="204"/>
      <c r="H67" s="201"/>
    </row>
    <row r="68">
      <c r="A68" s="201"/>
      <c r="B68" s="201"/>
      <c r="C68" s="201"/>
      <c r="D68" s="201"/>
      <c r="E68" s="202"/>
      <c r="F68" s="201"/>
      <c r="G68" s="204"/>
      <c r="H68" s="201"/>
    </row>
    <row r="69">
      <c r="A69" s="201"/>
      <c r="B69" s="201"/>
      <c r="C69" s="201"/>
      <c r="D69" s="201"/>
      <c r="E69" s="202"/>
      <c r="F69" s="201"/>
      <c r="G69" s="204"/>
      <c r="H69" s="201"/>
    </row>
    <row r="70">
      <c r="A70" s="201"/>
      <c r="B70" s="201"/>
      <c r="C70" s="201"/>
      <c r="D70" s="201"/>
      <c r="E70" s="202"/>
      <c r="F70" s="201"/>
      <c r="G70" s="204"/>
      <c r="H70" s="201"/>
    </row>
    <row r="71">
      <c r="A71" s="201"/>
      <c r="B71" s="201"/>
      <c r="C71" s="201"/>
      <c r="D71" s="201"/>
      <c r="E71" s="202"/>
      <c r="F71" s="201"/>
      <c r="G71" s="204"/>
      <c r="H71" s="201"/>
    </row>
    <row r="72">
      <c r="A72" s="201"/>
      <c r="B72" s="201"/>
      <c r="C72" s="201"/>
      <c r="D72" s="201"/>
      <c r="E72" s="202"/>
      <c r="F72" s="201"/>
      <c r="G72" s="204"/>
      <c r="H72" s="201"/>
    </row>
    <row r="73">
      <c r="A73" s="201"/>
      <c r="B73" s="201"/>
      <c r="C73" s="201"/>
      <c r="D73" s="201"/>
      <c r="E73" s="202"/>
      <c r="F73" s="201"/>
      <c r="G73" s="204"/>
      <c r="H73" s="201"/>
    </row>
    <row r="74">
      <c r="A74" s="201"/>
      <c r="B74" s="201"/>
      <c r="C74" s="201"/>
      <c r="D74" s="201"/>
      <c r="E74" s="202"/>
      <c r="F74" s="201"/>
      <c r="G74" s="204"/>
      <c r="H74" s="201"/>
    </row>
    <row r="75">
      <c r="A75" s="201"/>
      <c r="B75" s="201"/>
      <c r="C75" s="201"/>
      <c r="D75" s="201"/>
      <c r="E75" s="202"/>
      <c r="F75" s="201"/>
      <c r="G75" s="204"/>
      <c r="H75" s="201"/>
    </row>
    <row r="76">
      <c r="A76" s="201"/>
      <c r="B76" s="201"/>
      <c r="C76" s="201"/>
      <c r="D76" s="201"/>
      <c r="E76" s="202"/>
      <c r="F76" s="201"/>
      <c r="G76" s="204"/>
      <c r="H76" s="201"/>
    </row>
    <row r="77">
      <c r="A77" s="201"/>
      <c r="B77" s="201"/>
      <c r="C77" s="201"/>
      <c r="D77" s="201"/>
      <c r="E77" s="202"/>
      <c r="F77" s="201"/>
      <c r="G77" s="204"/>
      <c r="H77" s="201"/>
    </row>
    <row r="78">
      <c r="A78" s="201"/>
      <c r="B78" s="201"/>
      <c r="C78" s="201"/>
      <c r="D78" s="201"/>
      <c r="E78" s="202"/>
      <c r="F78" s="201"/>
      <c r="G78" s="204"/>
      <c r="H78" s="201"/>
    </row>
    <row r="79">
      <c r="A79" s="201"/>
      <c r="B79" s="201"/>
      <c r="C79" s="201"/>
      <c r="D79" s="201"/>
      <c r="E79" s="202"/>
      <c r="F79" s="201"/>
      <c r="G79" s="204"/>
      <c r="H79" s="201"/>
    </row>
    <row r="80">
      <c r="A80" s="201"/>
      <c r="B80" s="201"/>
      <c r="C80" s="201"/>
      <c r="D80" s="201"/>
      <c r="E80" s="202"/>
      <c r="F80" s="201"/>
      <c r="G80" s="204"/>
      <c r="H80" s="201"/>
    </row>
    <row r="81">
      <c r="A81" s="201"/>
      <c r="B81" s="201"/>
      <c r="C81" s="201"/>
      <c r="D81" s="201"/>
      <c r="E81" s="202"/>
      <c r="F81" s="201"/>
      <c r="G81" s="204"/>
      <c r="H81" s="201"/>
    </row>
    <row r="82">
      <c r="A82" s="201"/>
      <c r="B82" s="201"/>
      <c r="C82" s="201"/>
      <c r="D82" s="201"/>
      <c r="E82" s="202"/>
      <c r="F82" s="201"/>
      <c r="G82" s="204"/>
      <c r="H82" s="201"/>
    </row>
    <row r="83">
      <c r="A83" s="201"/>
      <c r="B83" s="201"/>
      <c r="C83" s="201"/>
      <c r="D83" s="201"/>
      <c r="E83" s="202"/>
      <c r="F83" s="201"/>
      <c r="G83" s="204"/>
      <c r="H83" s="201"/>
    </row>
    <row r="84">
      <c r="A84" s="201"/>
      <c r="B84" s="201"/>
      <c r="C84" s="201"/>
      <c r="D84" s="201"/>
      <c r="E84" s="202"/>
      <c r="F84" s="201"/>
      <c r="G84" s="204"/>
      <c r="H84" s="201"/>
    </row>
    <row r="85">
      <c r="A85" s="201"/>
      <c r="B85" s="201"/>
      <c r="C85" s="201"/>
      <c r="D85" s="201"/>
      <c r="E85" s="202"/>
      <c r="F85" s="201"/>
      <c r="G85" s="204"/>
      <c r="H85" s="201"/>
    </row>
    <row r="86">
      <c r="A86" s="201"/>
      <c r="B86" s="201"/>
      <c r="C86" s="201"/>
      <c r="D86" s="201"/>
      <c r="E86" s="202"/>
      <c r="F86" s="201"/>
      <c r="G86" s="204"/>
      <c r="H86" s="201"/>
    </row>
    <row r="87">
      <c r="A87" s="201"/>
      <c r="B87" s="201"/>
      <c r="C87" s="201"/>
      <c r="D87" s="201"/>
      <c r="E87" s="202"/>
      <c r="F87" s="201"/>
      <c r="G87" s="204"/>
      <c r="H87" s="201"/>
    </row>
    <row r="88">
      <c r="A88" s="201"/>
      <c r="B88" s="201"/>
      <c r="C88" s="201"/>
      <c r="D88" s="201"/>
      <c r="E88" s="202"/>
      <c r="F88" s="201"/>
      <c r="G88" s="204"/>
      <c r="H88" s="201"/>
    </row>
    <row r="89">
      <c r="A89" s="201"/>
      <c r="B89" s="201"/>
      <c r="C89" s="201"/>
      <c r="D89" s="201"/>
      <c r="E89" s="202"/>
      <c r="F89" s="201"/>
      <c r="G89" s="204"/>
      <c r="H89" s="201"/>
    </row>
    <row r="90">
      <c r="A90" s="201"/>
      <c r="B90" s="201"/>
      <c r="C90" s="201"/>
      <c r="D90" s="201"/>
      <c r="E90" s="202"/>
      <c r="F90" s="201"/>
      <c r="G90" s="204"/>
      <c r="H90" s="201"/>
    </row>
    <row r="91">
      <c r="A91" s="201"/>
      <c r="B91" s="201"/>
      <c r="C91" s="201"/>
      <c r="D91" s="201"/>
      <c r="E91" s="202"/>
      <c r="F91" s="201"/>
      <c r="G91" s="204"/>
      <c r="H91" s="201"/>
    </row>
    <row r="92">
      <c r="A92" s="201"/>
      <c r="B92" s="201"/>
      <c r="C92" s="201"/>
      <c r="D92" s="201"/>
      <c r="E92" s="202"/>
      <c r="F92" s="201"/>
      <c r="G92" s="204"/>
      <c r="H92" s="201"/>
    </row>
    <row r="93">
      <c r="A93" s="201"/>
      <c r="B93" s="201"/>
      <c r="C93" s="201"/>
      <c r="D93" s="201"/>
      <c r="E93" s="202"/>
      <c r="F93" s="201"/>
      <c r="G93" s="204"/>
      <c r="H93" s="201"/>
    </row>
    <row r="94">
      <c r="A94" s="201"/>
      <c r="B94" s="201"/>
      <c r="C94" s="201"/>
      <c r="D94" s="201"/>
      <c r="E94" s="202"/>
      <c r="F94" s="201"/>
      <c r="G94" s="204"/>
      <c r="H94" s="201"/>
    </row>
    <row r="95">
      <c r="A95" s="201"/>
      <c r="B95" s="201"/>
      <c r="C95" s="201"/>
      <c r="D95" s="201"/>
      <c r="E95" s="202"/>
      <c r="F95" s="201"/>
      <c r="G95" s="204"/>
      <c r="H95" s="201"/>
    </row>
    <row r="96">
      <c r="A96" s="201"/>
      <c r="B96" s="201"/>
      <c r="C96" s="201"/>
      <c r="D96" s="201"/>
      <c r="E96" s="202"/>
      <c r="F96" s="201"/>
      <c r="G96" s="204"/>
      <c r="H96" s="201"/>
    </row>
    <row r="97">
      <c r="A97" s="201"/>
      <c r="B97" s="201"/>
      <c r="C97" s="201"/>
      <c r="D97" s="201"/>
      <c r="E97" s="202"/>
      <c r="F97" s="201"/>
      <c r="G97" s="204"/>
      <c r="H97" s="201"/>
    </row>
    <row r="98">
      <c r="A98" s="201"/>
      <c r="B98" s="201"/>
      <c r="C98" s="201"/>
      <c r="D98" s="201"/>
      <c r="E98" s="202"/>
      <c r="F98" s="201"/>
      <c r="G98" s="204"/>
      <c r="H98" s="201"/>
    </row>
    <row r="99">
      <c r="A99" s="201"/>
      <c r="B99" s="201"/>
      <c r="C99" s="201"/>
      <c r="D99" s="201"/>
      <c r="E99" s="202"/>
      <c r="F99" s="201"/>
      <c r="G99" s="204"/>
      <c r="H99" s="201"/>
    </row>
    <row r="100">
      <c r="A100" s="201"/>
      <c r="B100" s="201"/>
      <c r="C100" s="201"/>
      <c r="D100" s="201"/>
      <c r="E100" s="202"/>
      <c r="F100" s="201"/>
      <c r="G100" s="204"/>
      <c r="H100" s="201"/>
    </row>
    <row r="101">
      <c r="A101" s="201"/>
      <c r="B101" s="201"/>
      <c r="C101" s="201"/>
      <c r="D101" s="201"/>
      <c r="E101" s="202"/>
      <c r="F101" s="201"/>
      <c r="G101" s="204"/>
      <c r="H101" s="201"/>
    </row>
    <row r="102">
      <c r="A102" s="201"/>
      <c r="B102" s="201"/>
      <c r="C102" s="201"/>
      <c r="D102" s="201"/>
      <c r="E102" s="202"/>
      <c r="F102" s="201"/>
      <c r="G102" s="204"/>
      <c r="H102" s="201"/>
    </row>
    <row r="103">
      <c r="A103" s="201"/>
      <c r="B103" s="201"/>
      <c r="C103" s="201"/>
      <c r="D103" s="201"/>
      <c r="E103" s="202"/>
      <c r="F103" s="201"/>
      <c r="G103" s="204"/>
      <c r="H103" s="201"/>
    </row>
    <row r="104">
      <c r="A104" s="201"/>
      <c r="B104" s="201"/>
      <c r="C104" s="201"/>
      <c r="D104" s="201"/>
      <c r="E104" s="202"/>
      <c r="F104" s="201"/>
      <c r="G104" s="204"/>
      <c r="H104" s="201"/>
    </row>
    <row r="105">
      <c r="A105" s="201"/>
      <c r="B105" s="201"/>
      <c r="C105" s="201"/>
      <c r="D105" s="201"/>
      <c r="E105" s="202"/>
      <c r="F105" s="201"/>
      <c r="G105" s="204"/>
      <c r="H105" s="201"/>
    </row>
    <row r="106">
      <c r="A106" s="201"/>
      <c r="B106" s="201"/>
      <c r="C106" s="201"/>
      <c r="D106" s="201"/>
      <c r="E106" s="202"/>
      <c r="F106" s="201"/>
      <c r="G106" s="204"/>
      <c r="H106" s="201"/>
    </row>
    <row r="107">
      <c r="A107" s="201"/>
      <c r="B107" s="201"/>
      <c r="C107" s="201"/>
      <c r="D107" s="201"/>
      <c r="E107" s="202"/>
      <c r="F107" s="201"/>
      <c r="G107" s="204"/>
      <c r="H107" s="201"/>
    </row>
    <row r="108">
      <c r="A108" s="201"/>
      <c r="B108" s="201"/>
      <c r="C108" s="201"/>
      <c r="D108" s="201"/>
      <c r="E108" s="202"/>
      <c r="F108" s="201"/>
      <c r="G108" s="204"/>
      <c r="H108" s="201"/>
    </row>
    <row r="109">
      <c r="A109" s="201"/>
      <c r="B109" s="201"/>
      <c r="C109" s="201"/>
      <c r="D109" s="201"/>
      <c r="E109" s="202"/>
      <c r="F109" s="201"/>
      <c r="G109" s="204"/>
      <c r="H109" s="201"/>
    </row>
    <row r="110">
      <c r="A110" s="201"/>
      <c r="B110" s="201"/>
      <c r="C110" s="201"/>
      <c r="D110" s="201"/>
      <c r="E110" s="202"/>
      <c r="F110" s="201"/>
      <c r="G110" s="204"/>
      <c r="H110" s="201"/>
    </row>
    <row r="111">
      <c r="A111" s="201"/>
      <c r="B111" s="201"/>
      <c r="C111" s="201"/>
      <c r="D111" s="201"/>
      <c r="E111" s="202"/>
      <c r="F111" s="201"/>
      <c r="G111" s="204"/>
      <c r="H111" s="201"/>
    </row>
    <row r="112">
      <c r="A112" s="201"/>
      <c r="B112" s="201"/>
      <c r="C112" s="201"/>
      <c r="D112" s="201"/>
      <c r="E112" s="202"/>
      <c r="F112" s="201"/>
      <c r="G112" s="204"/>
      <c r="H112" s="201"/>
    </row>
    <row r="113">
      <c r="A113" s="201"/>
      <c r="B113" s="201"/>
      <c r="C113" s="201"/>
      <c r="D113" s="201"/>
      <c r="E113" s="202"/>
      <c r="F113" s="201"/>
      <c r="G113" s="204"/>
      <c r="H113" s="201"/>
    </row>
    <row r="114">
      <c r="A114" s="201"/>
      <c r="B114" s="201"/>
      <c r="C114" s="201"/>
      <c r="D114" s="201"/>
      <c r="E114" s="202"/>
      <c r="F114" s="201"/>
      <c r="G114" s="204"/>
      <c r="H114" s="201"/>
    </row>
    <row r="115">
      <c r="A115" s="201"/>
      <c r="B115" s="201"/>
      <c r="C115" s="201"/>
      <c r="D115" s="201"/>
      <c r="E115" s="202"/>
      <c r="F115" s="201"/>
      <c r="G115" s="204"/>
      <c r="H115" s="201"/>
    </row>
    <row r="116">
      <c r="A116" s="201"/>
      <c r="B116" s="201"/>
      <c r="C116" s="201"/>
      <c r="D116" s="201"/>
      <c r="E116" s="202"/>
      <c r="F116" s="201"/>
      <c r="G116" s="204"/>
      <c r="H116" s="201"/>
    </row>
    <row r="117">
      <c r="A117" s="201"/>
      <c r="B117" s="201"/>
      <c r="C117" s="201"/>
      <c r="D117" s="201"/>
      <c r="E117" s="202"/>
      <c r="F117" s="201"/>
      <c r="G117" s="204"/>
      <c r="H117" s="201"/>
    </row>
    <row r="118">
      <c r="A118" s="201"/>
      <c r="B118" s="201"/>
      <c r="C118" s="201"/>
      <c r="D118" s="201"/>
      <c r="E118" s="202"/>
      <c r="F118" s="201"/>
      <c r="G118" s="204"/>
      <c r="H118" s="201"/>
    </row>
    <row r="119">
      <c r="A119" s="201"/>
      <c r="B119" s="201"/>
      <c r="C119" s="201"/>
      <c r="D119" s="201"/>
      <c r="E119" s="202"/>
      <c r="F119" s="201"/>
      <c r="G119" s="204"/>
      <c r="H119" s="201"/>
    </row>
    <row r="120">
      <c r="A120" s="201"/>
      <c r="B120" s="201"/>
      <c r="C120" s="201"/>
      <c r="D120" s="201"/>
      <c r="E120" s="202"/>
      <c r="F120" s="201"/>
      <c r="G120" s="204"/>
      <c r="H120" s="201"/>
    </row>
    <row r="121">
      <c r="A121" s="201"/>
      <c r="B121" s="201"/>
      <c r="C121" s="201"/>
      <c r="D121" s="201"/>
      <c r="E121" s="202"/>
      <c r="F121" s="201"/>
      <c r="G121" s="204"/>
      <c r="H121" s="201"/>
    </row>
    <row r="122">
      <c r="A122" s="201"/>
      <c r="B122" s="201"/>
      <c r="C122" s="201"/>
      <c r="D122" s="201"/>
      <c r="E122" s="202"/>
      <c r="F122" s="201"/>
      <c r="G122" s="204"/>
      <c r="H122" s="201"/>
    </row>
    <row r="123">
      <c r="A123" s="201"/>
      <c r="B123" s="201"/>
      <c r="C123" s="201"/>
      <c r="D123" s="201"/>
      <c r="E123" s="202"/>
      <c r="F123" s="201"/>
      <c r="G123" s="204"/>
      <c r="H123" s="201"/>
    </row>
    <row r="124">
      <c r="A124" s="201"/>
      <c r="B124" s="201"/>
      <c r="C124" s="201"/>
      <c r="D124" s="201"/>
      <c r="E124" s="202"/>
      <c r="F124" s="201"/>
      <c r="G124" s="204"/>
      <c r="H124" s="201"/>
    </row>
    <row r="125">
      <c r="A125" s="201"/>
      <c r="B125" s="201"/>
      <c r="C125" s="201"/>
      <c r="D125" s="201"/>
      <c r="E125" s="202"/>
      <c r="F125" s="201"/>
      <c r="G125" s="204"/>
      <c r="H125" s="201"/>
    </row>
    <row r="126">
      <c r="A126" s="201"/>
      <c r="B126" s="201"/>
      <c r="C126" s="201"/>
      <c r="D126" s="201"/>
      <c r="E126" s="202"/>
      <c r="F126" s="201"/>
      <c r="G126" s="204"/>
      <c r="H126" s="201"/>
    </row>
    <row r="127">
      <c r="A127" s="201"/>
      <c r="B127" s="201"/>
      <c r="C127" s="201"/>
      <c r="D127" s="201"/>
      <c r="E127" s="202"/>
      <c r="F127" s="201"/>
      <c r="G127" s="204"/>
      <c r="H127" s="201"/>
    </row>
    <row r="128">
      <c r="A128" s="201"/>
      <c r="B128" s="201"/>
      <c r="C128" s="201"/>
      <c r="D128" s="201"/>
      <c r="E128" s="202"/>
      <c r="F128" s="201"/>
      <c r="G128" s="204"/>
      <c r="H128" s="201"/>
    </row>
    <row r="129">
      <c r="A129" s="201"/>
      <c r="B129" s="201"/>
      <c r="C129" s="201"/>
      <c r="D129" s="201"/>
      <c r="E129" s="202"/>
      <c r="F129" s="201"/>
      <c r="G129" s="204"/>
      <c r="H129" s="201"/>
    </row>
    <row r="130">
      <c r="A130" s="201"/>
      <c r="B130" s="201"/>
      <c r="C130" s="201"/>
      <c r="D130" s="201"/>
      <c r="E130" s="202"/>
      <c r="F130" s="201"/>
      <c r="G130" s="204"/>
      <c r="H130" s="201"/>
    </row>
    <row r="131">
      <c r="A131" s="201"/>
      <c r="B131" s="201"/>
      <c r="C131" s="201"/>
      <c r="D131" s="201"/>
      <c r="E131" s="202"/>
      <c r="F131" s="201"/>
      <c r="G131" s="204"/>
      <c r="H131" s="201"/>
    </row>
    <row r="132">
      <c r="A132" s="201"/>
      <c r="B132" s="201"/>
      <c r="C132" s="201"/>
      <c r="D132" s="201"/>
      <c r="E132" s="202"/>
      <c r="F132" s="201"/>
      <c r="G132" s="204"/>
      <c r="H132" s="201"/>
    </row>
    <row r="133">
      <c r="A133" s="201"/>
      <c r="B133" s="201"/>
      <c r="C133" s="201"/>
      <c r="D133" s="201"/>
      <c r="E133" s="202"/>
      <c r="F133" s="201"/>
      <c r="G133" s="204"/>
      <c r="H133" s="201"/>
    </row>
    <row r="134">
      <c r="A134" s="201"/>
      <c r="B134" s="201"/>
      <c r="C134" s="201"/>
      <c r="D134" s="201"/>
      <c r="E134" s="202"/>
      <c r="F134" s="201"/>
      <c r="G134" s="204"/>
      <c r="H134" s="201"/>
    </row>
    <row r="135">
      <c r="A135" s="201"/>
      <c r="B135" s="201"/>
      <c r="C135" s="201"/>
      <c r="D135" s="201"/>
      <c r="E135" s="202"/>
      <c r="F135" s="201"/>
      <c r="G135" s="204"/>
      <c r="H135" s="201"/>
    </row>
    <row r="136">
      <c r="A136" s="201"/>
      <c r="B136" s="201"/>
      <c r="C136" s="201"/>
      <c r="D136" s="201"/>
      <c r="E136" s="202"/>
      <c r="F136" s="201"/>
      <c r="G136" s="204"/>
      <c r="H136" s="201"/>
    </row>
    <row r="137">
      <c r="A137" s="201"/>
      <c r="B137" s="201"/>
      <c r="C137" s="201"/>
      <c r="D137" s="201"/>
      <c r="E137" s="202"/>
      <c r="F137" s="201"/>
      <c r="G137" s="204"/>
      <c r="H137" s="201"/>
    </row>
    <row r="138">
      <c r="A138" s="201"/>
      <c r="B138" s="201"/>
      <c r="C138" s="201"/>
      <c r="D138" s="201"/>
      <c r="E138" s="202"/>
      <c r="F138" s="201"/>
      <c r="G138" s="204"/>
      <c r="H138" s="201"/>
    </row>
    <row r="139">
      <c r="A139" s="201"/>
      <c r="B139" s="201"/>
      <c r="C139" s="201"/>
      <c r="D139" s="201"/>
      <c r="E139" s="202"/>
      <c r="F139" s="201"/>
      <c r="G139" s="204"/>
      <c r="H139" s="201"/>
    </row>
    <row r="140">
      <c r="A140" s="201"/>
      <c r="B140" s="201"/>
      <c r="C140" s="201"/>
      <c r="D140" s="201"/>
      <c r="E140" s="202"/>
      <c r="F140" s="201"/>
      <c r="G140" s="204"/>
      <c r="H140" s="201"/>
    </row>
    <row r="141">
      <c r="A141" s="201"/>
      <c r="B141" s="201"/>
      <c r="C141" s="201"/>
      <c r="D141" s="201"/>
      <c r="E141" s="202"/>
      <c r="F141" s="201"/>
      <c r="G141" s="204"/>
      <c r="H141" s="201"/>
    </row>
    <row r="142">
      <c r="A142" s="201"/>
      <c r="B142" s="201"/>
      <c r="C142" s="201"/>
      <c r="D142" s="201"/>
      <c r="E142" s="202"/>
      <c r="F142" s="201"/>
      <c r="G142" s="204"/>
      <c r="H142" s="201"/>
    </row>
    <row r="143">
      <c r="A143" s="201"/>
      <c r="B143" s="201"/>
      <c r="C143" s="201"/>
      <c r="D143" s="201"/>
      <c r="E143" s="202"/>
      <c r="F143" s="201"/>
      <c r="G143" s="204"/>
      <c r="H143" s="201"/>
    </row>
    <row r="144">
      <c r="A144" s="201"/>
      <c r="B144" s="201"/>
      <c r="C144" s="201"/>
      <c r="D144" s="201"/>
      <c r="E144" s="202"/>
      <c r="F144" s="201"/>
      <c r="G144" s="204"/>
      <c r="H144" s="201"/>
    </row>
    <row r="145">
      <c r="A145" s="201"/>
      <c r="B145" s="201"/>
      <c r="C145" s="201"/>
      <c r="D145" s="201"/>
      <c r="E145" s="202"/>
      <c r="F145" s="201"/>
      <c r="G145" s="204"/>
      <c r="H145" s="201"/>
    </row>
    <row r="146">
      <c r="A146" s="201"/>
      <c r="B146" s="201"/>
      <c r="C146" s="201"/>
      <c r="D146" s="201"/>
      <c r="E146" s="202"/>
      <c r="F146" s="201"/>
      <c r="G146" s="204"/>
      <c r="H146" s="201"/>
    </row>
    <row r="147">
      <c r="A147" s="201"/>
      <c r="B147" s="201"/>
      <c r="C147" s="201"/>
      <c r="D147" s="201"/>
      <c r="E147" s="202"/>
      <c r="F147" s="201"/>
      <c r="G147" s="204"/>
      <c r="H147" s="201"/>
    </row>
    <row r="148">
      <c r="A148" s="201"/>
      <c r="B148" s="201"/>
      <c r="C148" s="201"/>
      <c r="D148" s="201"/>
      <c r="E148" s="202"/>
      <c r="F148" s="201"/>
      <c r="G148" s="204"/>
      <c r="H148" s="201"/>
    </row>
    <row r="149">
      <c r="A149" s="201"/>
      <c r="B149" s="201"/>
      <c r="C149" s="201"/>
      <c r="D149" s="201"/>
      <c r="E149" s="202"/>
      <c r="F149" s="201"/>
      <c r="G149" s="204"/>
      <c r="H149" s="201"/>
    </row>
    <row r="150">
      <c r="A150" s="201"/>
      <c r="B150" s="201"/>
      <c r="C150" s="201"/>
      <c r="D150" s="201"/>
      <c r="E150" s="202"/>
      <c r="F150" s="201"/>
      <c r="G150" s="204"/>
      <c r="H150" s="201"/>
    </row>
    <row r="151">
      <c r="A151" s="201"/>
      <c r="B151" s="201"/>
      <c r="C151" s="201"/>
      <c r="D151" s="201"/>
      <c r="E151" s="202"/>
      <c r="F151" s="201"/>
      <c r="G151" s="204"/>
      <c r="H151" s="201"/>
    </row>
    <row r="152">
      <c r="A152" s="201"/>
      <c r="B152" s="201"/>
      <c r="C152" s="201"/>
      <c r="D152" s="201"/>
      <c r="E152" s="202"/>
      <c r="F152" s="201"/>
      <c r="G152" s="204"/>
      <c r="H152" s="201"/>
    </row>
    <row r="153">
      <c r="A153" s="201"/>
      <c r="B153" s="201"/>
      <c r="C153" s="201"/>
      <c r="D153" s="201"/>
      <c r="E153" s="202"/>
      <c r="F153" s="201"/>
      <c r="G153" s="204"/>
      <c r="H153" s="201"/>
    </row>
    <row r="154">
      <c r="A154" s="201"/>
      <c r="B154" s="201"/>
      <c r="C154" s="201"/>
      <c r="D154" s="201"/>
      <c r="E154" s="202"/>
      <c r="F154" s="201"/>
      <c r="G154" s="204"/>
      <c r="H154" s="201"/>
    </row>
    <row r="155">
      <c r="A155" s="201"/>
      <c r="B155" s="201"/>
      <c r="C155" s="201"/>
      <c r="D155" s="201"/>
      <c r="E155" s="202"/>
      <c r="F155" s="201"/>
      <c r="G155" s="204"/>
      <c r="H155" s="201"/>
    </row>
    <row r="156">
      <c r="A156" s="201"/>
      <c r="B156" s="201"/>
      <c r="C156" s="201"/>
      <c r="D156" s="201"/>
      <c r="E156" s="202"/>
      <c r="F156" s="201"/>
      <c r="G156" s="204"/>
      <c r="H156" s="201"/>
    </row>
    <row r="157">
      <c r="A157" s="201"/>
      <c r="B157" s="201"/>
      <c r="C157" s="201"/>
      <c r="D157" s="201"/>
      <c r="E157" s="202"/>
      <c r="F157" s="201"/>
      <c r="G157" s="204"/>
      <c r="H157" s="201"/>
    </row>
    <row r="158">
      <c r="A158" s="201"/>
      <c r="B158" s="201"/>
      <c r="C158" s="201"/>
      <c r="D158" s="201"/>
      <c r="E158" s="202"/>
      <c r="F158" s="201"/>
      <c r="G158" s="204"/>
      <c r="H158" s="201"/>
    </row>
    <row r="159">
      <c r="A159" s="201"/>
      <c r="B159" s="201"/>
      <c r="C159" s="201"/>
      <c r="D159" s="201"/>
      <c r="E159" s="202"/>
      <c r="F159" s="201"/>
      <c r="G159" s="204"/>
      <c r="H159" s="201"/>
    </row>
    <row r="160">
      <c r="A160" s="201"/>
      <c r="B160" s="201"/>
      <c r="C160" s="201"/>
      <c r="D160" s="201"/>
      <c r="E160" s="202"/>
      <c r="F160" s="201"/>
      <c r="G160" s="204"/>
      <c r="H160" s="201"/>
    </row>
    <row r="161">
      <c r="A161" s="201"/>
      <c r="B161" s="201"/>
      <c r="C161" s="201"/>
      <c r="D161" s="201"/>
      <c r="E161" s="202"/>
      <c r="F161" s="201"/>
      <c r="G161" s="204"/>
      <c r="H161" s="201"/>
    </row>
    <row r="162">
      <c r="A162" s="201"/>
      <c r="B162" s="201"/>
      <c r="C162" s="201"/>
      <c r="D162" s="201"/>
      <c r="E162" s="202"/>
      <c r="F162" s="201"/>
      <c r="G162" s="204"/>
      <c r="H162" s="201"/>
    </row>
    <row r="163">
      <c r="A163" s="201"/>
      <c r="B163" s="201"/>
      <c r="C163" s="201"/>
      <c r="D163" s="201"/>
      <c r="E163" s="202"/>
      <c r="F163" s="201"/>
      <c r="G163" s="204"/>
      <c r="H163" s="201"/>
    </row>
    <row r="164">
      <c r="A164" s="201"/>
      <c r="B164" s="201"/>
      <c r="C164" s="201"/>
      <c r="D164" s="201"/>
      <c r="E164" s="202"/>
      <c r="F164" s="201"/>
      <c r="G164" s="204"/>
      <c r="H164" s="201"/>
    </row>
    <row r="165">
      <c r="A165" s="201"/>
      <c r="B165" s="201"/>
      <c r="C165" s="201"/>
      <c r="D165" s="201"/>
      <c r="E165" s="202"/>
      <c r="F165" s="201"/>
      <c r="G165" s="204"/>
      <c r="H165" s="201"/>
    </row>
    <row r="166">
      <c r="A166" s="201"/>
      <c r="B166" s="201"/>
      <c r="C166" s="201"/>
      <c r="D166" s="201"/>
      <c r="E166" s="202"/>
      <c r="F166" s="201"/>
      <c r="G166" s="204"/>
      <c r="H166" s="201"/>
    </row>
    <row r="167">
      <c r="A167" s="201"/>
      <c r="B167" s="201"/>
      <c r="C167" s="201"/>
      <c r="D167" s="201"/>
      <c r="E167" s="202"/>
      <c r="F167" s="201"/>
      <c r="G167" s="204"/>
      <c r="H167" s="201"/>
    </row>
    <row r="168">
      <c r="A168" s="201"/>
      <c r="B168" s="201"/>
      <c r="C168" s="201"/>
      <c r="D168" s="201"/>
      <c r="E168" s="202"/>
      <c r="F168" s="201"/>
      <c r="G168" s="204"/>
      <c r="H168" s="201"/>
    </row>
    <row r="169">
      <c r="A169" s="201"/>
      <c r="B169" s="201"/>
      <c r="C169" s="201"/>
      <c r="D169" s="201"/>
      <c r="E169" s="202"/>
      <c r="F169" s="201"/>
      <c r="G169" s="204"/>
      <c r="H169" s="201"/>
    </row>
    <row r="170">
      <c r="A170" s="201"/>
      <c r="B170" s="201"/>
      <c r="C170" s="201"/>
      <c r="D170" s="201"/>
      <c r="E170" s="202"/>
      <c r="F170" s="201"/>
      <c r="G170" s="204"/>
      <c r="H170" s="201"/>
    </row>
    <row r="171">
      <c r="A171" s="201"/>
      <c r="B171" s="201"/>
      <c r="C171" s="201"/>
      <c r="D171" s="201"/>
      <c r="E171" s="202"/>
      <c r="F171" s="201"/>
      <c r="G171" s="204"/>
      <c r="H171" s="201"/>
    </row>
    <row r="172">
      <c r="A172" s="201"/>
      <c r="B172" s="201"/>
      <c r="C172" s="201"/>
      <c r="D172" s="201"/>
      <c r="E172" s="202"/>
      <c r="F172" s="201"/>
      <c r="G172" s="204"/>
      <c r="H172" s="201"/>
    </row>
    <row r="173">
      <c r="A173" s="201"/>
      <c r="B173" s="201"/>
      <c r="C173" s="201"/>
      <c r="D173" s="201"/>
      <c r="E173" s="202"/>
      <c r="F173" s="201"/>
      <c r="G173" s="204"/>
      <c r="H173" s="201"/>
    </row>
    <row r="174">
      <c r="A174" s="201"/>
      <c r="B174" s="201"/>
      <c r="C174" s="201"/>
      <c r="D174" s="201"/>
      <c r="E174" s="202"/>
      <c r="F174" s="201"/>
      <c r="G174" s="204"/>
      <c r="H174" s="201"/>
    </row>
    <row r="175">
      <c r="A175" s="201"/>
      <c r="B175" s="201"/>
      <c r="C175" s="201"/>
      <c r="D175" s="201"/>
      <c r="E175" s="202"/>
      <c r="F175" s="201"/>
      <c r="G175" s="204"/>
      <c r="H175" s="201"/>
    </row>
    <row r="176">
      <c r="A176" s="201"/>
      <c r="B176" s="201"/>
      <c r="C176" s="201"/>
      <c r="D176" s="201"/>
      <c r="E176" s="202"/>
      <c r="F176" s="201"/>
      <c r="G176" s="204"/>
      <c r="H176" s="201"/>
    </row>
    <row r="177">
      <c r="A177" s="201"/>
      <c r="B177" s="201"/>
      <c r="C177" s="201"/>
      <c r="D177" s="201"/>
      <c r="E177" s="202"/>
      <c r="F177" s="201"/>
      <c r="G177" s="204"/>
      <c r="H177" s="201"/>
    </row>
    <row r="178">
      <c r="A178" s="201"/>
      <c r="B178" s="201"/>
      <c r="C178" s="201"/>
      <c r="D178" s="201"/>
      <c r="E178" s="202"/>
      <c r="F178" s="201"/>
      <c r="G178" s="204"/>
      <c r="H178" s="201"/>
    </row>
    <row r="179">
      <c r="A179" s="201"/>
      <c r="B179" s="201"/>
      <c r="C179" s="201"/>
      <c r="D179" s="201"/>
      <c r="E179" s="202"/>
      <c r="F179" s="201"/>
      <c r="G179" s="204"/>
      <c r="H179" s="201"/>
    </row>
    <row r="180">
      <c r="A180" s="201"/>
      <c r="B180" s="201"/>
      <c r="C180" s="201"/>
      <c r="D180" s="201"/>
      <c r="E180" s="202"/>
      <c r="F180" s="201"/>
      <c r="G180" s="204"/>
      <c r="H180" s="201"/>
    </row>
    <row r="181">
      <c r="A181" s="201"/>
      <c r="B181" s="201"/>
      <c r="C181" s="201"/>
      <c r="D181" s="201"/>
      <c r="E181" s="202"/>
      <c r="F181" s="201"/>
      <c r="G181" s="204"/>
      <c r="H181" s="201"/>
    </row>
    <row r="182">
      <c r="A182" s="201"/>
      <c r="B182" s="201"/>
      <c r="C182" s="201"/>
      <c r="D182" s="201"/>
      <c r="E182" s="202"/>
      <c r="F182" s="201"/>
      <c r="G182" s="204"/>
      <c r="H182" s="201"/>
    </row>
    <row r="183">
      <c r="A183" s="201"/>
      <c r="B183" s="201"/>
      <c r="C183" s="201"/>
      <c r="D183" s="201"/>
      <c r="E183" s="202"/>
      <c r="F183" s="201"/>
      <c r="G183" s="204"/>
      <c r="H183" s="201"/>
    </row>
    <row r="184">
      <c r="A184" s="201"/>
      <c r="B184" s="201"/>
      <c r="C184" s="201"/>
      <c r="D184" s="201"/>
      <c r="E184" s="202"/>
      <c r="F184" s="201"/>
      <c r="G184" s="204"/>
      <c r="H184" s="201"/>
    </row>
    <row r="185">
      <c r="A185" s="201"/>
      <c r="B185" s="201"/>
      <c r="C185" s="201"/>
      <c r="D185" s="201"/>
      <c r="E185" s="202"/>
      <c r="F185" s="201"/>
      <c r="G185" s="204"/>
      <c r="H185" s="201"/>
    </row>
    <row r="186">
      <c r="A186" s="201"/>
      <c r="B186" s="201"/>
      <c r="C186" s="201"/>
      <c r="D186" s="201"/>
      <c r="E186" s="202"/>
      <c r="F186" s="201"/>
      <c r="G186" s="204"/>
      <c r="H186" s="201"/>
    </row>
    <row r="187">
      <c r="A187" s="201"/>
      <c r="B187" s="201"/>
      <c r="C187" s="201"/>
      <c r="D187" s="201"/>
      <c r="E187" s="202"/>
      <c r="F187" s="201"/>
      <c r="G187" s="204"/>
      <c r="H187" s="201"/>
    </row>
    <row r="188">
      <c r="A188" s="201"/>
      <c r="B188" s="201"/>
      <c r="C188" s="201"/>
      <c r="D188" s="201"/>
      <c r="E188" s="202"/>
      <c r="F188" s="201"/>
      <c r="G188" s="204"/>
      <c r="H188" s="201"/>
    </row>
    <row r="189">
      <c r="A189" s="201"/>
      <c r="B189" s="201"/>
      <c r="C189" s="201"/>
      <c r="D189" s="201"/>
      <c r="E189" s="202"/>
      <c r="F189" s="201"/>
      <c r="G189" s="204"/>
      <c r="H189" s="201"/>
    </row>
    <row r="190">
      <c r="A190" s="201"/>
      <c r="B190" s="201"/>
      <c r="C190" s="201"/>
      <c r="D190" s="201"/>
      <c r="E190" s="202"/>
      <c r="F190" s="201"/>
      <c r="G190" s="204"/>
      <c r="H190" s="201"/>
    </row>
    <row r="191">
      <c r="A191" s="201"/>
      <c r="B191" s="201"/>
      <c r="C191" s="201"/>
      <c r="D191" s="201"/>
      <c r="E191" s="202"/>
      <c r="F191" s="201"/>
      <c r="G191" s="204"/>
      <c r="H191" s="201"/>
    </row>
    <row r="192">
      <c r="A192" s="201"/>
      <c r="B192" s="201"/>
      <c r="C192" s="201"/>
      <c r="D192" s="201"/>
      <c r="E192" s="202"/>
      <c r="F192" s="201"/>
      <c r="G192" s="204"/>
      <c r="H192" s="201"/>
    </row>
    <row r="193">
      <c r="A193" s="201"/>
      <c r="B193" s="201"/>
      <c r="C193" s="201"/>
      <c r="D193" s="201"/>
      <c r="E193" s="202"/>
      <c r="F193" s="201"/>
      <c r="G193" s="204"/>
      <c r="H193" s="201"/>
    </row>
    <row r="194">
      <c r="A194" s="201"/>
      <c r="B194" s="201"/>
      <c r="C194" s="201"/>
      <c r="D194" s="201"/>
      <c r="E194" s="202"/>
      <c r="F194" s="201"/>
      <c r="G194" s="204"/>
      <c r="H194" s="201"/>
    </row>
    <row r="195">
      <c r="A195" s="201"/>
      <c r="B195" s="201"/>
      <c r="C195" s="201"/>
      <c r="D195" s="201"/>
      <c r="E195" s="202"/>
      <c r="F195" s="201"/>
      <c r="G195" s="204"/>
      <c r="H195" s="201"/>
    </row>
    <row r="196">
      <c r="A196" s="201"/>
      <c r="B196" s="201"/>
      <c r="C196" s="201"/>
      <c r="D196" s="201"/>
      <c r="E196" s="202"/>
      <c r="F196" s="201"/>
      <c r="G196" s="204"/>
      <c r="H196" s="201"/>
    </row>
    <row r="197">
      <c r="A197" s="201"/>
      <c r="B197" s="201"/>
      <c r="C197" s="201"/>
      <c r="D197" s="201"/>
      <c r="E197" s="202"/>
      <c r="F197" s="201"/>
      <c r="G197" s="204"/>
      <c r="H197" s="201"/>
    </row>
    <row r="198">
      <c r="A198" s="201"/>
      <c r="B198" s="201"/>
      <c r="C198" s="201"/>
      <c r="D198" s="201"/>
      <c r="E198" s="202"/>
      <c r="F198" s="201"/>
      <c r="G198" s="204"/>
      <c r="H198" s="201"/>
    </row>
    <row r="199">
      <c r="A199" s="201"/>
      <c r="B199" s="201"/>
      <c r="C199" s="201"/>
      <c r="D199" s="201"/>
      <c r="E199" s="202"/>
      <c r="F199" s="201"/>
      <c r="G199" s="204"/>
      <c r="H199" s="201"/>
    </row>
    <row r="200">
      <c r="A200" s="201"/>
      <c r="B200" s="201"/>
      <c r="C200" s="201"/>
      <c r="D200" s="201"/>
      <c r="E200" s="202"/>
      <c r="F200" s="201"/>
      <c r="G200" s="204"/>
      <c r="H200" s="201"/>
    </row>
    <row r="201">
      <c r="A201" s="201"/>
      <c r="B201" s="201"/>
      <c r="C201" s="201"/>
      <c r="D201" s="201"/>
      <c r="E201" s="202"/>
      <c r="F201" s="201"/>
      <c r="G201" s="204"/>
      <c r="H201" s="201"/>
    </row>
    <row r="202">
      <c r="A202" s="201"/>
      <c r="B202" s="201"/>
      <c r="C202" s="201"/>
      <c r="D202" s="201"/>
      <c r="E202" s="202"/>
      <c r="F202" s="201"/>
      <c r="G202" s="204"/>
      <c r="H202" s="201"/>
    </row>
    <row r="203">
      <c r="A203" s="201"/>
      <c r="B203" s="201"/>
      <c r="C203" s="201"/>
      <c r="D203" s="201"/>
      <c r="E203" s="202"/>
      <c r="F203" s="201"/>
      <c r="G203" s="204"/>
      <c r="H203" s="201"/>
    </row>
    <row r="204">
      <c r="A204" s="201"/>
      <c r="B204" s="201"/>
      <c r="C204" s="201"/>
      <c r="D204" s="201"/>
      <c r="E204" s="202"/>
      <c r="F204" s="201"/>
      <c r="G204" s="204"/>
      <c r="H204" s="201"/>
    </row>
    <row r="205">
      <c r="A205" s="201"/>
      <c r="B205" s="201"/>
      <c r="C205" s="201"/>
      <c r="D205" s="201"/>
      <c r="E205" s="202"/>
      <c r="F205" s="201"/>
      <c r="G205" s="204"/>
      <c r="H205" s="201"/>
    </row>
    <row r="206">
      <c r="A206" s="201"/>
      <c r="B206" s="201"/>
      <c r="C206" s="201"/>
      <c r="D206" s="201"/>
      <c r="E206" s="202"/>
      <c r="F206" s="201"/>
      <c r="G206" s="204"/>
      <c r="H206" s="201"/>
    </row>
    <row r="207">
      <c r="A207" s="201"/>
      <c r="B207" s="201"/>
      <c r="C207" s="201"/>
      <c r="D207" s="201"/>
      <c r="E207" s="202"/>
      <c r="F207" s="201"/>
      <c r="G207" s="204"/>
      <c r="H207" s="201"/>
    </row>
    <row r="208">
      <c r="A208" s="201"/>
      <c r="B208" s="201"/>
      <c r="C208" s="201"/>
      <c r="D208" s="201"/>
      <c r="E208" s="202"/>
      <c r="F208" s="201"/>
      <c r="G208" s="204"/>
      <c r="H208" s="201"/>
    </row>
    <row r="209">
      <c r="A209" s="201"/>
      <c r="B209" s="201"/>
      <c r="C209" s="201"/>
      <c r="D209" s="201"/>
      <c r="E209" s="202"/>
      <c r="F209" s="201"/>
      <c r="G209" s="204"/>
      <c r="H209" s="201"/>
    </row>
    <row r="210">
      <c r="A210" s="201"/>
      <c r="B210" s="201"/>
      <c r="C210" s="201"/>
      <c r="D210" s="201"/>
      <c r="E210" s="202"/>
      <c r="F210" s="201"/>
      <c r="G210" s="204"/>
      <c r="H210" s="201"/>
    </row>
    <row r="211">
      <c r="A211" s="201"/>
      <c r="B211" s="201"/>
      <c r="C211" s="201"/>
      <c r="D211" s="201"/>
      <c r="E211" s="202"/>
      <c r="F211" s="201"/>
      <c r="G211" s="204"/>
      <c r="H211" s="201"/>
    </row>
    <row r="212">
      <c r="A212" s="201"/>
      <c r="B212" s="201"/>
      <c r="C212" s="201"/>
      <c r="D212" s="201"/>
      <c r="E212" s="202"/>
      <c r="F212" s="201"/>
      <c r="G212" s="204"/>
      <c r="H212" s="201"/>
    </row>
    <row r="213">
      <c r="A213" s="201"/>
      <c r="B213" s="201"/>
      <c r="C213" s="201"/>
      <c r="D213" s="201"/>
      <c r="E213" s="202"/>
      <c r="F213" s="201"/>
      <c r="G213" s="204"/>
      <c r="H213" s="201"/>
    </row>
    <row r="214">
      <c r="A214" s="201"/>
      <c r="B214" s="201"/>
      <c r="C214" s="201"/>
      <c r="D214" s="201"/>
      <c r="E214" s="202"/>
      <c r="F214" s="201"/>
      <c r="G214" s="204"/>
      <c r="H214" s="201"/>
    </row>
    <row r="215">
      <c r="A215" s="201"/>
      <c r="B215" s="201"/>
      <c r="C215" s="201"/>
      <c r="D215" s="201"/>
      <c r="E215" s="202"/>
      <c r="F215" s="201"/>
      <c r="G215" s="204"/>
      <c r="H215" s="201"/>
    </row>
    <row r="216">
      <c r="A216" s="201"/>
      <c r="B216" s="201"/>
      <c r="C216" s="201"/>
      <c r="D216" s="201"/>
      <c r="E216" s="202"/>
      <c r="F216" s="201"/>
      <c r="G216" s="204"/>
      <c r="H216" s="201"/>
    </row>
    <row r="217">
      <c r="A217" s="201"/>
      <c r="B217" s="201"/>
      <c r="C217" s="201"/>
      <c r="D217" s="201"/>
      <c r="E217" s="202"/>
      <c r="F217" s="201"/>
      <c r="G217" s="204"/>
      <c r="H217" s="201"/>
    </row>
    <row r="218">
      <c r="A218" s="201"/>
      <c r="B218" s="201"/>
      <c r="C218" s="201"/>
      <c r="D218" s="201"/>
      <c r="E218" s="202"/>
      <c r="F218" s="201"/>
      <c r="G218" s="204"/>
      <c r="H218" s="201"/>
    </row>
    <row r="219">
      <c r="A219" s="201"/>
      <c r="B219" s="201"/>
      <c r="C219" s="201"/>
      <c r="D219" s="201"/>
      <c r="E219" s="202"/>
      <c r="F219" s="201"/>
      <c r="G219" s="204"/>
      <c r="H219" s="201"/>
    </row>
    <row r="220">
      <c r="A220" s="201"/>
      <c r="B220" s="201"/>
      <c r="C220" s="201"/>
      <c r="D220" s="201"/>
      <c r="E220" s="202"/>
      <c r="F220" s="201"/>
      <c r="G220" s="204"/>
      <c r="H220" s="201"/>
    </row>
    <row r="221">
      <c r="A221" s="201"/>
      <c r="B221" s="201"/>
      <c r="C221" s="201"/>
      <c r="D221" s="201"/>
      <c r="E221" s="202"/>
      <c r="F221" s="201"/>
      <c r="G221" s="204"/>
      <c r="H221" s="201"/>
    </row>
    <row r="222">
      <c r="A222" s="201"/>
      <c r="B222" s="201"/>
      <c r="C222" s="201"/>
      <c r="D222" s="201"/>
      <c r="E222" s="202"/>
      <c r="F222" s="201"/>
      <c r="G222" s="204"/>
      <c r="H222" s="201"/>
    </row>
    <row r="223">
      <c r="A223" s="201"/>
      <c r="B223" s="201"/>
      <c r="C223" s="201"/>
      <c r="D223" s="201"/>
      <c r="E223" s="202"/>
      <c r="F223" s="201"/>
      <c r="G223" s="204"/>
      <c r="H223" s="201"/>
    </row>
    <row r="224">
      <c r="A224" s="201"/>
      <c r="B224" s="201"/>
      <c r="C224" s="201"/>
      <c r="D224" s="201"/>
      <c r="E224" s="202"/>
      <c r="F224" s="201"/>
      <c r="G224" s="204"/>
      <c r="H224" s="201"/>
    </row>
    <row r="225">
      <c r="A225" s="201"/>
      <c r="B225" s="201"/>
      <c r="C225" s="201"/>
      <c r="D225" s="201"/>
      <c r="E225" s="202"/>
      <c r="F225" s="201"/>
      <c r="G225" s="204"/>
      <c r="H225" s="201"/>
    </row>
    <row r="226">
      <c r="A226" s="201"/>
      <c r="B226" s="201"/>
      <c r="C226" s="201"/>
      <c r="D226" s="201"/>
      <c r="E226" s="202"/>
      <c r="F226" s="201"/>
      <c r="G226" s="204"/>
      <c r="H226" s="201"/>
    </row>
    <row r="227">
      <c r="A227" s="201"/>
      <c r="B227" s="201"/>
      <c r="C227" s="201"/>
      <c r="D227" s="201"/>
      <c r="E227" s="202"/>
      <c r="F227" s="201"/>
      <c r="G227" s="204"/>
      <c r="H227" s="201"/>
    </row>
    <row r="228">
      <c r="A228" s="201"/>
      <c r="B228" s="201"/>
      <c r="C228" s="201"/>
      <c r="D228" s="201"/>
      <c r="E228" s="202"/>
      <c r="F228" s="201"/>
      <c r="G228" s="204"/>
      <c r="H228" s="201"/>
    </row>
    <row r="229">
      <c r="A229" s="201"/>
      <c r="B229" s="201"/>
      <c r="C229" s="201"/>
      <c r="D229" s="201"/>
      <c r="E229" s="202"/>
      <c r="F229" s="201"/>
      <c r="G229" s="204"/>
      <c r="H229" s="201"/>
    </row>
    <row r="230">
      <c r="A230" s="201"/>
      <c r="B230" s="201"/>
      <c r="C230" s="201"/>
      <c r="D230" s="201"/>
      <c r="E230" s="202"/>
      <c r="F230" s="201"/>
      <c r="G230" s="204"/>
      <c r="H230" s="201"/>
    </row>
    <row r="231">
      <c r="A231" s="201"/>
      <c r="B231" s="201"/>
      <c r="C231" s="201"/>
      <c r="D231" s="201"/>
      <c r="E231" s="202"/>
      <c r="F231" s="201"/>
      <c r="G231" s="204"/>
      <c r="H231" s="201"/>
    </row>
    <row r="232">
      <c r="A232" s="201"/>
      <c r="B232" s="201"/>
      <c r="C232" s="201"/>
      <c r="D232" s="201"/>
      <c r="E232" s="202"/>
      <c r="F232" s="201"/>
      <c r="G232" s="204"/>
      <c r="H232" s="201"/>
    </row>
    <row r="233">
      <c r="A233" s="201"/>
      <c r="B233" s="201"/>
      <c r="C233" s="201"/>
      <c r="D233" s="201"/>
      <c r="E233" s="202"/>
      <c r="F233" s="201"/>
      <c r="G233" s="204"/>
      <c r="H233" s="201"/>
    </row>
    <row r="234">
      <c r="A234" s="201"/>
      <c r="B234" s="201"/>
      <c r="C234" s="201"/>
      <c r="D234" s="201"/>
      <c r="E234" s="202"/>
      <c r="F234" s="201"/>
      <c r="G234" s="204"/>
      <c r="H234" s="201"/>
    </row>
    <row r="235">
      <c r="A235" s="201"/>
      <c r="B235" s="201"/>
      <c r="C235" s="201"/>
      <c r="D235" s="201"/>
      <c r="E235" s="202"/>
      <c r="F235" s="201"/>
      <c r="G235" s="204"/>
      <c r="H235" s="201"/>
    </row>
    <row r="236">
      <c r="A236" s="201"/>
      <c r="B236" s="201"/>
      <c r="C236" s="201"/>
      <c r="D236" s="201"/>
      <c r="E236" s="202"/>
      <c r="F236" s="201"/>
      <c r="G236" s="204"/>
      <c r="H236" s="201"/>
    </row>
    <row r="237">
      <c r="A237" s="201"/>
      <c r="B237" s="201"/>
      <c r="C237" s="201"/>
      <c r="D237" s="201"/>
      <c r="E237" s="202"/>
      <c r="F237" s="201"/>
      <c r="G237" s="204"/>
      <c r="H237" s="201"/>
    </row>
    <row r="238">
      <c r="A238" s="201"/>
      <c r="B238" s="201"/>
      <c r="C238" s="201"/>
      <c r="D238" s="201"/>
      <c r="E238" s="202"/>
      <c r="F238" s="201"/>
      <c r="G238" s="204"/>
      <c r="H238" s="201"/>
    </row>
    <row r="239">
      <c r="A239" s="201"/>
      <c r="B239" s="201"/>
      <c r="C239" s="201"/>
      <c r="D239" s="201"/>
      <c r="E239" s="202"/>
      <c r="F239" s="201"/>
      <c r="G239" s="204"/>
      <c r="H239" s="201"/>
    </row>
    <row r="240">
      <c r="A240" s="201"/>
      <c r="B240" s="201"/>
      <c r="C240" s="201"/>
      <c r="D240" s="201"/>
      <c r="E240" s="202"/>
      <c r="F240" s="201"/>
      <c r="G240" s="204"/>
      <c r="H240" s="201"/>
    </row>
    <row r="241">
      <c r="A241" s="201"/>
      <c r="B241" s="201"/>
      <c r="C241" s="201"/>
      <c r="D241" s="201"/>
      <c r="E241" s="202"/>
      <c r="F241" s="201"/>
      <c r="G241" s="204"/>
      <c r="H241" s="201"/>
    </row>
    <row r="242">
      <c r="A242" s="201"/>
      <c r="B242" s="201"/>
      <c r="C242" s="201"/>
      <c r="D242" s="201"/>
      <c r="E242" s="202"/>
      <c r="F242" s="201"/>
      <c r="G242" s="204"/>
      <c r="H242" s="201"/>
    </row>
    <row r="243">
      <c r="A243" s="201"/>
      <c r="B243" s="201"/>
      <c r="C243" s="201"/>
      <c r="D243" s="201"/>
      <c r="E243" s="202"/>
      <c r="F243" s="201"/>
      <c r="G243" s="204"/>
      <c r="H243" s="201"/>
    </row>
    <row r="244">
      <c r="A244" s="201"/>
      <c r="B244" s="201"/>
      <c r="C244" s="201"/>
      <c r="D244" s="201"/>
      <c r="E244" s="202"/>
      <c r="F244" s="201"/>
      <c r="G244" s="204"/>
      <c r="H244" s="201"/>
    </row>
    <row r="245">
      <c r="A245" s="201"/>
      <c r="B245" s="201"/>
      <c r="C245" s="201"/>
      <c r="D245" s="201"/>
      <c r="E245" s="202"/>
      <c r="F245" s="201"/>
      <c r="G245" s="204"/>
      <c r="H245" s="201"/>
    </row>
    <row r="246">
      <c r="A246" s="201"/>
      <c r="B246" s="201"/>
      <c r="C246" s="201"/>
      <c r="D246" s="201"/>
      <c r="E246" s="202"/>
      <c r="F246" s="201"/>
      <c r="G246" s="204"/>
      <c r="H246" s="201"/>
    </row>
    <row r="247">
      <c r="A247" s="201"/>
      <c r="B247" s="201"/>
      <c r="C247" s="201"/>
      <c r="D247" s="201"/>
      <c r="E247" s="202"/>
      <c r="F247" s="201"/>
      <c r="G247" s="204"/>
      <c r="H247" s="201"/>
    </row>
    <row r="248">
      <c r="A248" s="201"/>
      <c r="B248" s="201"/>
      <c r="C248" s="201"/>
      <c r="D248" s="201"/>
      <c r="E248" s="202"/>
      <c r="F248" s="201"/>
      <c r="G248" s="204"/>
      <c r="H248" s="201"/>
    </row>
    <row r="249">
      <c r="A249" s="201"/>
      <c r="B249" s="201"/>
      <c r="C249" s="201"/>
      <c r="D249" s="201"/>
      <c r="E249" s="202"/>
      <c r="F249" s="201"/>
      <c r="G249" s="204"/>
      <c r="H249" s="201"/>
    </row>
    <row r="250">
      <c r="A250" s="201"/>
      <c r="B250" s="201"/>
      <c r="C250" s="201"/>
      <c r="D250" s="201"/>
      <c r="E250" s="202"/>
      <c r="F250" s="201"/>
      <c r="G250" s="204"/>
      <c r="H250" s="201"/>
    </row>
    <row r="251">
      <c r="A251" s="201"/>
      <c r="B251" s="201"/>
      <c r="C251" s="201"/>
      <c r="D251" s="201"/>
      <c r="E251" s="202"/>
      <c r="F251" s="201"/>
      <c r="G251" s="204"/>
      <c r="H251" s="201"/>
    </row>
    <row r="252">
      <c r="A252" s="201"/>
      <c r="B252" s="201"/>
      <c r="C252" s="201"/>
      <c r="D252" s="201"/>
      <c r="E252" s="202"/>
      <c r="F252" s="201"/>
      <c r="G252" s="204"/>
      <c r="H252" s="201"/>
    </row>
    <row r="253">
      <c r="A253" s="201"/>
      <c r="B253" s="201"/>
      <c r="C253" s="201"/>
      <c r="D253" s="201"/>
      <c r="E253" s="202"/>
      <c r="F253" s="201"/>
      <c r="G253" s="204"/>
      <c r="H253" s="201"/>
    </row>
    <row r="254">
      <c r="A254" s="201"/>
      <c r="B254" s="201"/>
      <c r="C254" s="201"/>
      <c r="D254" s="201"/>
      <c r="E254" s="202"/>
      <c r="F254" s="201"/>
      <c r="G254" s="204"/>
      <c r="H254" s="201"/>
    </row>
    <row r="255">
      <c r="A255" s="201"/>
      <c r="B255" s="201"/>
      <c r="C255" s="201"/>
      <c r="D255" s="201"/>
      <c r="E255" s="202"/>
      <c r="F255" s="201"/>
      <c r="G255" s="204"/>
      <c r="H255" s="201"/>
    </row>
    <row r="256">
      <c r="A256" s="201"/>
      <c r="B256" s="201"/>
      <c r="C256" s="201"/>
      <c r="D256" s="201"/>
      <c r="E256" s="202"/>
      <c r="F256" s="201"/>
      <c r="G256" s="204"/>
      <c r="H256" s="201"/>
    </row>
    <row r="257">
      <c r="A257" s="201"/>
      <c r="B257" s="201"/>
      <c r="C257" s="201"/>
      <c r="D257" s="201"/>
      <c r="E257" s="202"/>
      <c r="F257" s="201"/>
      <c r="G257" s="204"/>
      <c r="H257" s="201"/>
    </row>
    <row r="258">
      <c r="A258" s="201"/>
      <c r="B258" s="201"/>
      <c r="C258" s="201"/>
      <c r="D258" s="201"/>
      <c r="E258" s="202"/>
      <c r="F258" s="201"/>
      <c r="G258" s="204"/>
      <c r="H258" s="201"/>
    </row>
    <row r="259">
      <c r="A259" s="201"/>
      <c r="B259" s="201"/>
      <c r="C259" s="201"/>
      <c r="D259" s="201"/>
      <c r="E259" s="202"/>
      <c r="F259" s="201"/>
      <c r="G259" s="204"/>
      <c r="H259" s="201"/>
    </row>
    <row r="260">
      <c r="A260" s="201"/>
      <c r="B260" s="201"/>
      <c r="C260" s="201"/>
      <c r="D260" s="201"/>
      <c r="E260" s="202"/>
      <c r="F260" s="201"/>
      <c r="G260" s="204"/>
      <c r="H260" s="201"/>
    </row>
    <row r="261">
      <c r="A261" s="201"/>
      <c r="B261" s="201"/>
      <c r="C261" s="201"/>
      <c r="D261" s="201"/>
      <c r="E261" s="202"/>
      <c r="F261" s="201"/>
      <c r="G261" s="204"/>
      <c r="H261" s="201"/>
    </row>
    <row r="262">
      <c r="A262" s="201"/>
      <c r="B262" s="201"/>
      <c r="C262" s="201"/>
      <c r="D262" s="201"/>
      <c r="E262" s="202"/>
      <c r="F262" s="201"/>
      <c r="G262" s="204"/>
      <c r="H262" s="201"/>
    </row>
    <row r="263">
      <c r="A263" s="201"/>
      <c r="B263" s="201"/>
      <c r="C263" s="201"/>
      <c r="D263" s="201"/>
      <c r="E263" s="202"/>
      <c r="F263" s="201"/>
      <c r="G263" s="204"/>
      <c r="H263" s="201"/>
    </row>
    <row r="264">
      <c r="A264" s="201"/>
      <c r="B264" s="201"/>
      <c r="C264" s="201"/>
      <c r="D264" s="201"/>
      <c r="E264" s="202"/>
      <c r="F264" s="201"/>
      <c r="G264" s="204"/>
      <c r="H264" s="201"/>
    </row>
    <row r="265">
      <c r="A265" s="201"/>
      <c r="B265" s="201"/>
      <c r="C265" s="201"/>
      <c r="D265" s="201"/>
      <c r="E265" s="202"/>
      <c r="F265" s="201"/>
      <c r="G265" s="204"/>
      <c r="H265" s="201"/>
    </row>
    <row r="266">
      <c r="A266" s="201"/>
      <c r="B266" s="201"/>
      <c r="C266" s="201"/>
      <c r="D266" s="201"/>
      <c r="E266" s="202"/>
      <c r="F266" s="201"/>
      <c r="G266" s="204"/>
      <c r="H266" s="201"/>
    </row>
    <row r="267">
      <c r="A267" s="201"/>
      <c r="B267" s="201"/>
      <c r="C267" s="201"/>
      <c r="D267" s="201"/>
      <c r="E267" s="202"/>
      <c r="F267" s="201"/>
      <c r="G267" s="204"/>
      <c r="H267" s="201"/>
    </row>
    <row r="268">
      <c r="A268" s="201"/>
      <c r="B268" s="201"/>
      <c r="C268" s="201"/>
      <c r="D268" s="201"/>
      <c r="E268" s="202"/>
      <c r="F268" s="201"/>
      <c r="G268" s="204"/>
      <c r="H268" s="201"/>
    </row>
    <row r="269">
      <c r="A269" s="201"/>
      <c r="B269" s="201"/>
      <c r="C269" s="201"/>
      <c r="D269" s="201"/>
      <c r="E269" s="202"/>
      <c r="F269" s="201"/>
      <c r="G269" s="204"/>
      <c r="H269" s="201"/>
    </row>
    <row r="270">
      <c r="A270" s="201"/>
      <c r="B270" s="201"/>
      <c r="C270" s="201"/>
      <c r="D270" s="201"/>
      <c r="E270" s="202"/>
      <c r="F270" s="201"/>
      <c r="G270" s="204"/>
      <c r="H270" s="201"/>
    </row>
    <row r="271">
      <c r="A271" s="201"/>
      <c r="B271" s="201"/>
      <c r="C271" s="201"/>
      <c r="D271" s="201"/>
      <c r="E271" s="202"/>
      <c r="F271" s="201"/>
      <c r="G271" s="204"/>
      <c r="H271" s="201"/>
    </row>
    <row r="272">
      <c r="A272" s="201"/>
      <c r="B272" s="201"/>
      <c r="C272" s="201"/>
      <c r="D272" s="201"/>
      <c r="E272" s="202"/>
      <c r="F272" s="201"/>
      <c r="G272" s="204"/>
      <c r="H272" s="201"/>
    </row>
    <row r="273">
      <c r="A273" s="201"/>
      <c r="B273" s="201"/>
      <c r="C273" s="201"/>
      <c r="D273" s="201"/>
      <c r="E273" s="202"/>
      <c r="F273" s="201"/>
      <c r="G273" s="204"/>
      <c r="H273" s="201"/>
    </row>
    <row r="274">
      <c r="A274" s="201"/>
      <c r="B274" s="201"/>
      <c r="C274" s="201"/>
      <c r="D274" s="201"/>
      <c r="E274" s="202"/>
      <c r="F274" s="201"/>
      <c r="G274" s="204"/>
      <c r="H274" s="201"/>
    </row>
    <row r="275">
      <c r="A275" s="201"/>
      <c r="B275" s="201"/>
      <c r="C275" s="201"/>
      <c r="D275" s="201"/>
      <c r="E275" s="202"/>
      <c r="F275" s="201"/>
      <c r="G275" s="204"/>
      <c r="H275" s="201"/>
    </row>
    <row r="276">
      <c r="A276" s="201"/>
      <c r="B276" s="201"/>
      <c r="C276" s="201"/>
      <c r="D276" s="201"/>
      <c r="E276" s="202"/>
      <c r="F276" s="201"/>
      <c r="G276" s="204"/>
      <c r="H276" s="201"/>
    </row>
    <row r="277">
      <c r="A277" s="201"/>
      <c r="B277" s="201"/>
      <c r="C277" s="201"/>
      <c r="D277" s="201"/>
      <c r="E277" s="202"/>
      <c r="F277" s="201"/>
      <c r="G277" s="204"/>
      <c r="H277" s="201"/>
    </row>
    <row r="278">
      <c r="A278" s="201"/>
      <c r="B278" s="201"/>
      <c r="C278" s="201"/>
      <c r="D278" s="201"/>
      <c r="E278" s="202"/>
      <c r="F278" s="201"/>
      <c r="G278" s="204"/>
      <c r="H278" s="201"/>
    </row>
    <row r="279">
      <c r="A279" s="201"/>
      <c r="B279" s="201"/>
      <c r="C279" s="201"/>
      <c r="D279" s="201"/>
      <c r="E279" s="202"/>
      <c r="F279" s="201"/>
      <c r="G279" s="204"/>
      <c r="H279" s="201"/>
    </row>
    <row r="280">
      <c r="A280" s="201"/>
      <c r="B280" s="201"/>
      <c r="C280" s="201"/>
      <c r="D280" s="201"/>
      <c r="E280" s="202"/>
      <c r="F280" s="201"/>
      <c r="G280" s="204"/>
      <c r="H280" s="201"/>
    </row>
    <row r="281">
      <c r="A281" s="201"/>
      <c r="B281" s="201"/>
      <c r="C281" s="201"/>
      <c r="D281" s="201"/>
      <c r="E281" s="202"/>
      <c r="F281" s="201"/>
      <c r="G281" s="204"/>
      <c r="H281" s="201"/>
    </row>
    <row r="282">
      <c r="A282" s="201"/>
      <c r="B282" s="201"/>
      <c r="C282" s="201"/>
      <c r="D282" s="201"/>
      <c r="E282" s="202"/>
      <c r="F282" s="201"/>
      <c r="G282" s="204"/>
      <c r="H282" s="201"/>
    </row>
    <row r="283">
      <c r="A283" s="201"/>
      <c r="B283" s="201"/>
      <c r="C283" s="201"/>
      <c r="D283" s="201"/>
      <c r="E283" s="202"/>
      <c r="F283" s="201"/>
      <c r="G283" s="204"/>
      <c r="H283" s="201"/>
    </row>
    <row r="284">
      <c r="A284" s="201"/>
      <c r="B284" s="201"/>
      <c r="C284" s="201"/>
      <c r="D284" s="201"/>
      <c r="E284" s="202"/>
      <c r="F284" s="201"/>
      <c r="G284" s="204"/>
      <c r="H284" s="201"/>
    </row>
    <row r="285">
      <c r="A285" s="201"/>
      <c r="B285" s="201"/>
      <c r="C285" s="201"/>
      <c r="D285" s="201"/>
      <c r="E285" s="202"/>
      <c r="F285" s="201"/>
      <c r="G285" s="204"/>
      <c r="H285" s="201"/>
    </row>
    <row r="286">
      <c r="A286" s="201"/>
      <c r="B286" s="201"/>
      <c r="C286" s="201"/>
      <c r="D286" s="201"/>
      <c r="E286" s="202"/>
      <c r="F286" s="201"/>
      <c r="G286" s="204"/>
      <c r="H286" s="201"/>
    </row>
    <row r="287">
      <c r="A287" s="201"/>
      <c r="B287" s="201"/>
      <c r="C287" s="201"/>
      <c r="D287" s="201"/>
      <c r="E287" s="202"/>
      <c r="F287" s="201"/>
      <c r="G287" s="204"/>
      <c r="H287" s="201"/>
    </row>
    <row r="288">
      <c r="A288" s="201"/>
      <c r="B288" s="201"/>
      <c r="C288" s="201"/>
      <c r="D288" s="201"/>
      <c r="E288" s="202"/>
      <c r="F288" s="201"/>
      <c r="G288" s="204"/>
      <c r="H288" s="201"/>
    </row>
    <row r="289">
      <c r="A289" s="201"/>
      <c r="B289" s="201"/>
      <c r="C289" s="201"/>
      <c r="D289" s="201"/>
      <c r="E289" s="202"/>
      <c r="F289" s="201"/>
      <c r="G289" s="204"/>
      <c r="H289" s="201"/>
    </row>
    <row r="290">
      <c r="A290" s="201"/>
      <c r="B290" s="201"/>
      <c r="C290" s="201"/>
      <c r="D290" s="201"/>
      <c r="E290" s="202"/>
      <c r="F290" s="201"/>
      <c r="G290" s="204"/>
      <c r="H290" s="201"/>
    </row>
    <row r="291">
      <c r="A291" s="201"/>
      <c r="B291" s="201"/>
      <c r="C291" s="201"/>
      <c r="D291" s="201"/>
      <c r="E291" s="202"/>
      <c r="F291" s="201"/>
      <c r="G291" s="204"/>
      <c r="H291" s="201"/>
    </row>
    <row r="292">
      <c r="A292" s="201"/>
      <c r="B292" s="201"/>
      <c r="C292" s="201"/>
      <c r="D292" s="201"/>
      <c r="E292" s="202"/>
      <c r="F292" s="201"/>
      <c r="G292" s="204"/>
      <c r="H292" s="201"/>
    </row>
    <row r="293">
      <c r="A293" s="201"/>
      <c r="B293" s="201"/>
      <c r="C293" s="201"/>
      <c r="D293" s="201"/>
      <c r="E293" s="202"/>
      <c r="F293" s="201"/>
      <c r="G293" s="204"/>
      <c r="H293" s="201"/>
    </row>
    <row r="294">
      <c r="A294" s="201"/>
      <c r="B294" s="201"/>
      <c r="C294" s="201"/>
      <c r="D294" s="201"/>
      <c r="E294" s="202"/>
      <c r="F294" s="201"/>
      <c r="G294" s="204"/>
      <c r="H294" s="201"/>
    </row>
    <row r="295">
      <c r="A295" s="201"/>
      <c r="B295" s="201"/>
      <c r="C295" s="201"/>
      <c r="D295" s="201"/>
      <c r="E295" s="202"/>
      <c r="F295" s="201"/>
      <c r="G295" s="204"/>
      <c r="H295" s="201"/>
    </row>
    <row r="296">
      <c r="A296" s="201"/>
      <c r="B296" s="201"/>
      <c r="C296" s="201"/>
      <c r="D296" s="201"/>
      <c r="E296" s="202"/>
      <c r="F296" s="201"/>
      <c r="G296" s="204"/>
      <c r="H296" s="201"/>
    </row>
    <row r="297">
      <c r="A297" s="201"/>
      <c r="B297" s="201"/>
      <c r="C297" s="201"/>
      <c r="D297" s="201"/>
      <c r="E297" s="202"/>
      <c r="F297" s="201"/>
      <c r="G297" s="204"/>
      <c r="H297" s="201"/>
    </row>
    <row r="298">
      <c r="A298" s="201"/>
      <c r="B298" s="201"/>
      <c r="C298" s="201"/>
      <c r="D298" s="201"/>
      <c r="E298" s="202"/>
      <c r="F298" s="201"/>
      <c r="G298" s="204"/>
      <c r="H298" s="201"/>
    </row>
    <row r="299">
      <c r="A299" s="201"/>
      <c r="B299" s="201"/>
      <c r="C299" s="201"/>
      <c r="D299" s="201"/>
      <c r="E299" s="202"/>
      <c r="F299" s="201"/>
      <c r="G299" s="204"/>
      <c r="H299" s="201"/>
    </row>
    <row r="300">
      <c r="A300" s="201"/>
      <c r="B300" s="201"/>
      <c r="C300" s="201"/>
      <c r="D300" s="201"/>
      <c r="E300" s="202"/>
      <c r="F300" s="201"/>
      <c r="G300" s="204"/>
      <c r="H300" s="201"/>
    </row>
    <row r="301">
      <c r="A301" s="201"/>
      <c r="B301" s="201"/>
      <c r="C301" s="201"/>
      <c r="D301" s="201"/>
      <c r="E301" s="202"/>
      <c r="F301" s="201"/>
      <c r="G301" s="204"/>
      <c r="H301" s="201"/>
    </row>
    <row r="302">
      <c r="A302" s="201"/>
      <c r="B302" s="201"/>
      <c r="C302" s="201"/>
      <c r="D302" s="201"/>
      <c r="E302" s="202"/>
      <c r="F302" s="201"/>
      <c r="G302" s="204"/>
      <c r="H302" s="201"/>
    </row>
    <row r="303">
      <c r="A303" s="201"/>
      <c r="B303" s="201"/>
      <c r="C303" s="201"/>
      <c r="D303" s="201"/>
      <c r="E303" s="202"/>
      <c r="F303" s="201"/>
      <c r="G303" s="204"/>
      <c r="H303" s="201"/>
    </row>
    <row r="304">
      <c r="A304" s="201"/>
      <c r="B304" s="201"/>
      <c r="C304" s="201"/>
      <c r="D304" s="201"/>
      <c r="E304" s="202"/>
      <c r="F304" s="201"/>
      <c r="G304" s="204"/>
      <c r="H304" s="201"/>
    </row>
    <row r="305">
      <c r="A305" s="201"/>
      <c r="B305" s="201"/>
      <c r="C305" s="201"/>
      <c r="D305" s="201"/>
      <c r="E305" s="202"/>
      <c r="F305" s="201"/>
      <c r="G305" s="204"/>
      <c r="H305" s="201"/>
    </row>
    <row r="306">
      <c r="A306" s="201"/>
      <c r="B306" s="201"/>
      <c r="C306" s="201"/>
      <c r="D306" s="201"/>
      <c r="E306" s="202"/>
      <c r="F306" s="201"/>
      <c r="G306" s="204"/>
      <c r="H306" s="201"/>
    </row>
    <row r="307">
      <c r="A307" s="201"/>
      <c r="B307" s="201"/>
      <c r="C307" s="201"/>
      <c r="D307" s="201"/>
      <c r="E307" s="202"/>
      <c r="F307" s="201"/>
      <c r="G307" s="204"/>
      <c r="H307" s="201"/>
    </row>
    <row r="308">
      <c r="A308" s="201"/>
      <c r="B308" s="201"/>
      <c r="C308" s="201"/>
      <c r="D308" s="201"/>
      <c r="E308" s="202"/>
      <c r="F308" s="201"/>
      <c r="G308" s="204"/>
      <c r="H308" s="201"/>
    </row>
    <row r="309">
      <c r="A309" s="201"/>
      <c r="B309" s="201"/>
      <c r="C309" s="201"/>
      <c r="D309" s="201"/>
      <c r="E309" s="202"/>
      <c r="F309" s="201"/>
      <c r="G309" s="204"/>
      <c r="H309" s="201"/>
    </row>
    <row r="310">
      <c r="A310" s="201"/>
      <c r="B310" s="201"/>
      <c r="C310" s="201"/>
      <c r="D310" s="201"/>
      <c r="E310" s="202"/>
      <c r="F310" s="201"/>
      <c r="G310" s="204"/>
      <c r="H310" s="201"/>
    </row>
    <row r="311">
      <c r="A311" s="201"/>
      <c r="B311" s="201"/>
      <c r="C311" s="201"/>
      <c r="D311" s="201"/>
      <c r="E311" s="202"/>
      <c r="F311" s="201"/>
      <c r="G311" s="204"/>
      <c r="H311" s="201"/>
    </row>
    <row r="312">
      <c r="A312" s="201"/>
      <c r="B312" s="201"/>
      <c r="C312" s="201"/>
      <c r="D312" s="201"/>
      <c r="E312" s="202"/>
      <c r="F312" s="201"/>
      <c r="G312" s="204"/>
      <c r="H312" s="201"/>
    </row>
    <row r="313">
      <c r="A313" s="201"/>
      <c r="B313" s="201"/>
      <c r="C313" s="201"/>
      <c r="D313" s="201"/>
      <c r="E313" s="202"/>
      <c r="F313" s="201"/>
      <c r="G313" s="204"/>
      <c r="H313" s="201"/>
    </row>
    <row r="314">
      <c r="A314" s="201"/>
      <c r="B314" s="201"/>
      <c r="C314" s="201"/>
      <c r="D314" s="201"/>
      <c r="E314" s="202"/>
      <c r="F314" s="201"/>
      <c r="G314" s="204"/>
      <c r="H314" s="201"/>
    </row>
    <row r="315">
      <c r="A315" s="201"/>
      <c r="B315" s="201"/>
      <c r="C315" s="201"/>
      <c r="D315" s="201"/>
      <c r="E315" s="202"/>
      <c r="F315" s="201"/>
      <c r="G315" s="204"/>
      <c r="H315" s="201"/>
    </row>
    <row r="316">
      <c r="A316" s="201"/>
      <c r="B316" s="201"/>
      <c r="C316" s="201"/>
      <c r="D316" s="201"/>
      <c r="E316" s="202"/>
      <c r="F316" s="201"/>
      <c r="G316" s="204"/>
      <c r="H316" s="201"/>
    </row>
    <row r="317">
      <c r="A317" s="201"/>
      <c r="B317" s="201"/>
      <c r="C317" s="201"/>
      <c r="D317" s="201"/>
      <c r="E317" s="202"/>
      <c r="F317" s="201"/>
      <c r="G317" s="204"/>
      <c r="H317" s="201"/>
    </row>
    <row r="318">
      <c r="A318" s="201"/>
      <c r="B318" s="201"/>
      <c r="C318" s="201"/>
      <c r="D318" s="201"/>
      <c r="E318" s="202"/>
      <c r="F318" s="201"/>
      <c r="G318" s="204"/>
      <c r="H318" s="201"/>
    </row>
    <row r="319">
      <c r="A319" s="201"/>
      <c r="B319" s="201"/>
      <c r="C319" s="201"/>
      <c r="D319" s="201"/>
      <c r="E319" s="202"/>
      <c r="F319" s="201"/>
      <c r="G319" s="204"/>
      <c r="H319" s="201"/>
    </row>
    <row r="320">
      <c r="A320" s="201"/>
      <c r="B320" s="201"/>
      <c r="C320" s="201"/>
      <c r="D320" s="201"/>
      <c r="E320" s="202"/>
      <c r="F320" s="201"/>
      <c r="G320" s="204"/>
      <c r="H320" s="201"/>
    </row>
    <row r="321">
      <c r="A321" s="201"/>
      <c r="B321" s="201"/>
      <c r="C321" s="201"/>
      <c r="D321" s="201"/>
      <c r="E321" s="202"/>
      <c r="F321" s="201"/>
      <c r="G321" s="204"/>
      <c r="H321" s="201"/>
    </row>
    <row r="322">
      <c r="A322" s="201"/>
      <c r="B322" s="201"/>
      <c r="C322" s="201"/>
      <c r="D322" s="201"/>
      <c r="E322" s="202"/>
      <c r="F322" s="201"/>
      <c r="G322" s="204"/>
      <c r="H322" s="201"/>
    </row>
    <row r="323">
      <c r="A323" s="201"/>
      <c r="B323" s="201"/>
      <c r="C323" s="201"/>
      <c r="D323" s="201"/>
      <c r="E323" s="202"/>
      <c r="F323" s="201"/>
      <c r="G323" s="204"/>
      <c r="H323" s="201"/>
    </row>
    <row r="324">
      <c r="A324" s="201"/>
      <c r="B324" s="201"/>
      <c r="C324" s="201"/>
      <c r="D324" s="201"/>
      <c r="E324" s="202"/>
      <c r="F324" s="201"/>
      <c r="G324" s="204"/>
      <c r="H324" s="201"/>
    </row>
    <row r="325">
      <c r="A325" s="201"/>
      <c r="B325" s="201"/>
      <c r="C325" s="201"/>
      <c r="D325" s="201"/>
      <c r="E325" s="202"/>
      <c r="F325" s="201"/>
      <c r="G325" s="204"/>
      <c r="H325" s="201"/>
    </row>
    <row r="326">
      <c r="A326" s="201"/>
      <c r="B326" s="201"/>
      <c r="C326" s="201"/>
      <c r="D326" s="201"/>
      <c r="E326" s="202"/>
      <c r="F326" s="201"/>
      <c r="G326" s="204"/>
      <c r="H326" s="201"/>
    </row>
    <row r="327">
      <c r="A327" s="201"/>
      <c r="B327" s="201"/>
      <c r="C327" s="201"/>
      <c r="D327" s="201"/>
      <c r="E327" s="202"/>
      <c r="F327" s="201"/>
      <c r="G327" s="204"/>
      <c r="H327" s="201"/>
    </row>
    <row r="328">
      <c r="A328" s="201"/>
      <c r="B328" s="201"/>
      <c r="C328" s="201"/>
      <c r="D328" s="201"/>
      <c r="E328" s="202"/>
      <c r="F328" s="201"/>
      <c r="G328" s="204"/>
      <c r="H328" s="201"/>
    </row>
    <row r="329">
      <c r="A329" s="201"/>
      <c r="B329" s="201"/>
      <c r="C329" s="201"/>
      <c r="D329" s="201"/>
      <c r="E329" s="202"/>
      <c r="F329" s="201"/>
      <c r="G329" s="204"/>
      <c r="H329" s="201"/>
    </row>
    <row r="330">
      <c r="A330" s="201"/>
      <c r="B330" s="201"/>
      <c r="C330" s="201"/>
      <c r="D330" s="201"/>
      <c r="E330" s="202"/>
      <c r="F330" s="201"/>
      <c r="G330" s="204"/>
      <c r="H330" s="201"/>
    </row>
    <row r="331">
      <c r="A331" s="201"/>
      <c r="B331" s="201"/>
      <c r="C331" s="201"/>
      <c r="D331" s="201"/>
      <c r="E331" s="202"/>
      <c r="F331" s="201"/>
      <c r="G331" s="204"/>
      <c r="H331" s="201"/>
    </row>
    <row r="332">
      <c r="A332" s="201"/>
      <c r="B332" s="201"/>
      <c r="C332" s="201"/>
      <c r="D332" s="201"/>
      <c r="E332" s="202"/>
      <c r="F332" s="201"/>
      <c r="G332" s="204"/>
      <c r="H332" s="201"/>
    </row>
    <row r="333">
      <c r="A333" s="201"/>
      <c r="B333" s="201"/>
      <c r="C333" s="201"/>
      <c r="D333" s="201"/>
      <c r="E333" s="202"/>
      <c r="F333" s="201"/>
      <c r="G333" s="204"/>
      <c r="H333" s="201"/>
    </row>
    <row r="334">
      <c r="A334" s="201"/>
      <c r="B334" s="201"/>
      <c r="C334" s="201"/>
      <c r="D334" s="201"/>
      <c r="E334" s="202"/>
      <c r="F334" s="201"/>
      <c r="G334" s="204"/>
      <c r="H334" s="201"/>
    </row>
    <row r="335">
      <c r="A335" s="201"/>
      <c r="B335" s="201"/>
      <c r="C335" s="201"/>
      <c r="D335" s="201"/>
      <c r="E335" s="202"/>
      <c r="F335" s="201"/>
      <c r="G335" s="204"/>
      <c r="H335" s="201"/>
    </row>
    <row r="336">
      <c r="A336" s="201"/>
      <c r="B336" s="201"/>
      <c r="C336" s="201"/>
      <c r="D336" s="201"/>
      <c r="E336" s="202"/>
      <c r="F336" s="201"/>
      <c r="G336" s="204"/>
      <c r="H336" s="201"/>
    </row>
    <row r="337">
      <c r="A337" s="201"/>
      <c r="B337" s="201"/>
      <c r="C337" s="201"/>
      <c r="D337" s="201"/>
      <c r="E337" s="202"/>
      <c r="F337" s="201"/>
      <c r="G337" s="204"/>
      <c r="H337" s="201"/>
    </row>
    <row r="338">
      <c r="A338" s="201"/>
      <c r="B338" s="201"/>
      <c r="C338" s="201"/>
      <c r="D338" s="201"/>
      <c r="E338" s="202"/>
      <c r="F338" s="201"/>
      <c r="G338" s="204"/>
      <c r="H338" s="201"/>
    </row>
    <row r="339">
      <c r="A339" s="201"/>
      <c r="B339" s="201"/>
      <c r="C339" s="201"/>
      <c r="D339" s="201"/>
      <c r="E339" s="202"/>
      <c r="F339" s="201"/>
      <c r="G339" s="204"/>
      <c r="H339" s="201"/>
    </row>
    <row r="340">
      <c r="A340" s="201"/>
      <c r="B340" s="201"/>
      <c r="C340" s="201"/>
      <c r="D340" s="201"/>
      <c r="E340" s="202"/>
      <c r="F340" s="201"/>
      <c r="G340" s="204"/>
      <c r="H340" s="201"/>
    </row>
    <row r="341">
      <c r="A341" s="201"/>
      <c r="B341" s="201"/>
      <c r="C341" s="201"/>
      <c r="D341" s="201"/>
      <c r="E341" s="202"/>
      <c r="F341" s="201"/>
      <c r="G341" s="204"/>
      <c r="H341" s="201"/>
    </row>
    <row r="342">
      <c r="A342" s="201"/>
      <c r="B342" s="201"/>
      <c r="C342" s="201"/>
      <c r="D342" s="201"/>
      <c r="E342" s="202"/>
      <c r="F342" s="201"/>
      <c r="G342" s="204"/>
      <c r="H342" s="201"/>
    </row>
    <row r="343">
      <c r="A343" s="201"/>
      <c r="B343" s="201"/>
      <c r="C343" s="201"/>
      <c r="D343" s="201"/>
      <c r="E343" s="202"/>
      <c r="F343" s="201"/>
      <c r="G343" s="204"/>
      <c r="H343" s="201"/>
    </row>
    <row r="344">
      <c r="A344" s="201"/>
      <c r="B344" s="201"/>
      <c r="C344" s="201"/>
      <c r="D344" s="201"/>
      <c r="E344" s="202"/>
      <c r="F344" s="201"/>
      <c r="G344" s="204"/>
      <c r="H344" s="201"/>
    </row>
    <row r="345">
      <c r="A345" s="201"/>
      <c r="B345" s="201"/>
      <c r="C345" s="201"/>
      <c r="D345" s="201"/>
      <c r="E345" s="202"/>
      <c r="F345" s="201"/>
      <c r="G345" s="204"/>
      <c r="H345" s="201"/>
    </row>
    <row r="346">
      <c r="A346" s="201"/>
      <c r="B346" s="201"/>
      <c r="C346" s="201"/>
      <c r="D346" s="201"/>
      <c r="E346" s="202"/>
      <c r="F346" s="201"/>
      <c r="G346" s="204"/>
      <c r="H346" s="201"/>
    </row>
    <row r="347">
      <c r="A347" s="201"/>
      <c r="B347" s="201"/>
      <c r="C347" s="201"/>
      <c r="D347" s="201"/>
      <c r="E347" s="202"/>
      <c r="F347" s="201"/>
      <c r="G347" s="204"/>
      <c r="H347" s="201"/>
    </row>
    <row r="348">
      <c r="A348" s="201"/>
      <c r="B348" s="201"/>
      <c r="C348" s="201"/>
      <c r="D348" s="201"/>
      <c r="E348" s="202"/>
      <c r="F348" s="201"/>
      <c r="G348" s="204"/>
      <c r="H348" s="201"/>
    </row>
    <row r="349">
      <c r="A349" s="201"/>
      <c r="B349" s="201"/>
      <c r="C349" s="201"/>
      <c r="D349" s="201"/>
      <c r="E349" s="202"/>
      <c r="F349" s="201"/>
      <c r="G349" s="204"/>
      <c r="H349" s="201"/>
    </row>
    <row r="350">
      <c r="A350" s="201"/>
      <c r="B350" s="201"/>
      <c r="C350" s="201"/>
      <c r="D350" s="201"/>
      <c r="E350" s="202"/>
      <c r="F350" s="201"/>
      <c r="G350" s="204"/>
      <c r="H350" s="201"/>
    </row>
    <row r="351">
      <c r="A351" s="201"/>
      <c r="B351" s="201"/>
      <c r="C351" s="201"/>
      <c r="D351" s="201"/>
      <c r="E351" s="202"/>
      <c r="F351" s="201"/>
      <c r="G351" s="204"/>
      <c r="H351" s="201"/>
    </row>
    <row r="352">
      <c r="A352" s="201"/>
      <c r="B352" s="201"/>
      <c r="C352" s="201"/>
      <c r="D352" s="201"/>
      <c r="E352" s="202"/>
      <c r="F352" s="201"/>
      <c r="G352" s="204"/>
      <c r="H352" s="201"/>
    </row>
    <row r="353">
      <c r="A353" s="201"/>
      <c r="B353" s="201"/>
      <c r="C353" s="201"/>
      <c r="D353" s="201"/>
      <c r="E353" s="202"/>
      <c r="F353" s="201"/>
      <c r="G353" s="204"/>
      <c r="H353" s="201"/>
    </row>
    <row r="354">
      <c r="A354" s="201"/>
      <c r="B354" s="201"/>
      <c r="C354" s="201"/>
      <c r="D354" s="201"/>
      <c r="E354" s="202"/>
      <c r="F354" s="201"/>
      <c r="G354" s="204"/>
      <c r="H354" s="201"/>
    </row>
    <row r="355">
      <c r="A355" s="201"/>
      <c r="B355" s="201"/>
      <c r="C355" s="201"/>
      <c r="D355" s="201"/>
      <c r="E355" s="202"/>
      <c r="F355" s="201"/>
      <c r="G355" s="204"/>
      <c r="H355" s="201"/>
    </row>
    <row r="356">
      <c r="A356" s="201"/>
      <c r="B356" s="201"/>
      <c r="C356" s="201"/>
      <c r="D356" s="201"/>
      <c r="E356" s="202"/>
      <c r="F356" s="201"/>
      <c r="G356" s="204"/>
      <c r="H356" s="201"/>
    </row>
    <row r="357">
      <c r="A357" s="201"/>
      <c r="B357" s="201"/>
      <c r="C357" s="201"/>
      <c r="D357" s="201"/>
      <c r="E357" s="202"/>
      <c r="F357" s="201"/>
      <c r="G357" s="204"/>
      <c r="H357" s="201"/>
    </row>
    <row r="358">
      <c r="A358" s="201"/>
      <c r="B358" s="201"/>
      <c r="C358" s="201"/>
      <c r="D358" s="201"/>
      <c r="E358" s="202"/>
      <c r="F358" s="201"/>
      <c r="G358" s="204"/>
      <c r="H358" s="201"/>
    </row>
    <row r="359">
      <c r="A359" s="201"/>
      <c r="B359" s="201"/>
      <c r="C359" s="201"/>
      <c r="D359" s="201"/>
      <c r="E359" s="202"/>
      <c r="F359" s="201"/>
      <c r="G359" s="204"/>
      <c r="H359" s="201"/>
    </row>
    <row r="360">
      <c r="A360" s="201"/>
      <c r="B360" s="201"/>
      <c r="C360" s="201"/>
      <c r="D360" s="201"/>
      <c r="E360" s="202"/>
      <c r="F360" s="201"/>
      <c r="G360" s="204"/>
      <c r="H360" s="201"/>
    </row>
    <row r="361">
      <c r="A361" s="201"/>
      <c r="B361" s="201"/>
      <c r="C361" s="201"/>
      <c r="D361" s="201"/>
      <c r="E361" s="202"/>
      <c r="F361" s="201"/>
      <c r="G361" s="204"/>
      <c r="H361" s="201"/>
    </row>
    <row r="362">
      <c r="A362" s="201"/>
      <c r="B362" s="201"/>
      <c r="C362" s="201"/>
      <c r="D362" s="201"/>
      <c r="E362" s="202"/>
      <c r="F362" s="201"/>
      <c r="G362" s="204"/>
      <c r="H362" s="201"/>
    </row>
    <row r="363">
      <c r="A363" s="201"/>
      <c r="B363" s="201"/>
      <c r="C363" s="201"/>
      <c r="D363" s="201"/>
      <c r="E363" s="202"/>
      <c r="F363" s="201"/>
      <c r="G363" s="204"/>
      <c r="H363" s="201"/>
    </row>
    <row r="364">
      <c r="A364" s="201"/>
      <c r="B364" s="201"/>
      <c r="C364" s="201"/>
      <c r="D364" s="201"/>
      <c r="E364" s="202"/>
      <c r="F364" s="201"/>
      <c r="G364" s="204"/>
      <c r="H364" s="201"/>
    </row>
    <row r="365">
      <c r="A365" s="201"/>
      <c r="B365" s="201"/>
      <c r="C365" s="201"/>
      <c r="D365" s="201"/>
      <c r="E365" s="202"/>
      <c r="F365" s="201"/>
      <c r="G365" s="204"/>
      <c r="H365" s="201"/>
    </row>
    <row r="366">
      <c r="A366" s="201"/>
      <c r="B366" s="201"/>
      <c r="C366" s="201"/>
      <c r="D366" s="201"/>
      <c r="E366" s="202"/>
      <c r="F366" s="201"/>
      <c r="G366" s="204"/>
      <c r="H366" s="201"/>
    </row>
    <row r="367">
      <c r="A367" s="201"/>
      <c r="B367" s="201"/>
      <c r="C367" s="201"/>
      <c r="D367" s="201"/>
      <c r="E367" s="202"/>
      <c r="F367" s="201"/>
      <c r="G367" s="204"/>
      <c r="H367" s="201"/>
    </row>
    <row r="368">
      <c r="A368" s="201"/>
      <c r="B368" s="201"/>
      <c r="C368" s="201"/>
      <c r="D368" s="201"/>
      <c r="E368" s="202"/>
      <c r="F368" s="201"/>
      <c r="G368" s="204"/>
      <c r="H368" s="201"/>
    </row>
    <row r="369">
      <c r="A369" s="201"/>
      <c r="B369" s="201"/>
      <c r="C369" s="201"/>
      <c r="D369" s="201"/>
      <c r="E369" s="202"/>
      <c r="F369" s="201"/>
      <c r="G369" s="204"/>
      <c r="H369" s="201"/>
    </row>
    <row r="370">
      <c r="A370" s="201"/>
      <c r="B370" s="201"/>
      <c r="C370" s="201"/>
      <c r="D370" s="201"/>
      <c r="E370" s="202"/>
      <c r="F370" s="201"/>
      <c r="G370" s="204"/>
      <c r="H370" s="201"/>
    </row>
    <row r="371">
      <c r="A371" s="201"/>
      <c r="B371" s="201"/>
      <c r="C371" s="201"/>
      <c r="D371" s="201"/>
      <c r="E371" s="202"/>
      <c r="F371" s="201"/>
      <c r="G371" s="204"/>
      <c r="H371" s="201"/>
    </row>
    <row r="372">
      <c r="A372" s="201"/>
      <c r="B372" s="201"/>
      <c r="C372" s="201"/>
      <c r="D372" s="201"/>
      <c r="E372" s="202"/>
      <c r="F372" s="201"/>
      <c r="G372" s="204"/>
      <c r="H372" s="201"/>
    </row>
    <row r="373">
      <c r="A373" s="201"/>
      <c r="B373" s="201"/>
      <c r="C373" s="201"/>
      <c r="D373" s="201"/>
      <c r="E373" s="202"/>
      <c r="F373" s="201"/>
      <c r="G373" s="204"/>
      <c r="H373" s="201"/>
    </row>
    <row r="374">
      <c r="A374" s="201"/>
      <c r="B374" s="201"/>
      <c r="C374" s="201"/>
      <c r="D374" s="201"/>
      <c r="E374" s="202"/>
      <c r="F374" s="201"/>
      <c r="G374" s="204"/>
      <c r="H374" s="201"/>
    </row>
    <row r="375">
      <c r="A375" s="201"/>
      <c r="B375" s="201"/>
      <c r="C375" s="201"/>
      <c r="D375" s="201"/>
      <c r="E375" s="202"/>
      <c r="F375" s="201"/>
      <c r="G375" s="204"/>
      <c r="H375" s="201"/>
    </row>
    <row r="376">
      <c r="A376" s="201"/>
      <c r="B376" s="201"/>
      <c r="C376" s="201"/>
      <c r="D376" s="201"/>
      <c r="E376" s="202"/>
      <c r="F376" s="201"/>
      <c r="G376" s="204"/>
      <c r="H376" s="201"/>
    </row>
    <row r="377">
      <c r="A377" s="201"/>
      <c r="B377" s="201"/>
      <c r="C377" s="201"/>
      <c r="D377" s="201"/>
      <c r="E377" s="202"/>
      <c r="F377" s="201"/>
      <c r="G377" s="204"/>
      <c r="H377" s="201"/>
    </row>
    <row r="378">
      <c r="A378" s="201"/>
      <c r="B378" s="201"/>
      <c r="C378" s="201"/>
      <c r="D378" s="201"/>
      <c r="E378" s="202"/>
      <c r="F378" s="201"/>
      <c r="G378" s="204"/>
      <c r="H378" s="201"/>
    </row>
    <row r="379">
      <c r="A379" s="201"/>
      <c r="B379" s="201"/>
      <c r="C379" s="201"/>
      <c r="D379" s="201"/>
      <c r="E379" s="202"/>
      <c r="F379" s="201"/>
      <c r="G379" s="204"/>
      <c r="H379" s="201"/>
    </row>
    <row r="380">
      <c r="A380" s="201"/>
      <c r="B380" s="201"/>
      <c r="C380" s="201"/>
      <c r="D380" s="201"/>
      <c r="E380" s="202"/>
      <c r="F380" s="201"/>
      <c r="G380" s="204"/>
      <c r="H380" s="201"/>
    </row>
    <row r="381">
      <c r="A381" s="201"/>
      <c r="B381" s="201"/>
      <c r="C381" s="201"/>
      <c r="D381" s="201"/>
      <c r="E381" s="202"/>
      <c r="F381" s="201"/>
      <c r="G381" s="204"/>
      <c r="H381" s="201"/>
    </row>
    <row r="382">
      <c r="A382" s="201"/>
      <c r="B382" s="201"/>
      <c r="C382" s="201"/>
      <c r="D382" s="201"/>
      <c r="E382" s="202"/>
      <c r="F382" s="201"/>
      <c r="G382" s="204"/>
      <c r="H382" s="201"/>
    </row>
    <row r="383">
      <c r="A383" s="201"/>
      <c r="B383" s="201"/>
      <c r="C383" s="201"/>
      <c r="D383" s="201"/>
      <c r="E383" s="202"/>
      <c r="F383" s="201"/>
      <c r="G383" s="204"/>
      <c r="H383" s="201"/>
    </row>
    <row r="384">
      <c r="A384" s="201"/>
      <c r="B384" s="201"/>
      <c r="C384" s="201"/>
      <c r="D384" s="201"/>
      <c r="E384" s="202"/>
      <c r="F384" s="201"/>
      <c r="G384" s="204"/>
      <c r="H384" s="201"/>
    </row>
    <row r="385">
      <c r="A385" s="201"/>
      <c r="B385" s="201"/>
      <c r="C385" s="201"/>
      <c r="D385" s="201"/>
      <c r="E385" s="202"/>
      <c r="F385" s="201"/>
      <c r="G385" s="204"/>
      <c r="H385" s="201"/>
    </row>
    <row r="386">
      <c r="A386" s="201"/>
      <c r="B386" s="201"/>
      <c r="C386" s="201"/>
      <c r="D386" s="201"/>
      <c r="E386" s="202"/>
      <c r="F386" s="201"/>
      <c r="G386" s="204"/>
      <c r="H386" s="201"/>
    </row>
    <row r="387">
      <c r="A387" s="201"/>
      <c r="B387" s="201"/>
      <c r="C387" s="201"/>
      <c r="D387" s="201"/>
      <c r="E387" s="202"/>
      <c r="F387" s="201"/>
      <c r="G387" s="204"/>
      <c r="H387" s="201"/>
    </row>
    <row r="388">
      <c r="A388" s="201"/>
      <c r="B388" s="201"/>
      <c r="C388" s="201"/>
      <c r="D388" s="201"/>
      <c r="E388" s="202"/>
      <c r="F388" s="201"/>
      <c r="G388" s="204"/>
      <c r="H388" s="201"/>
    </row>
    <row r="389">
      <c r="A389" s="201"/>
      <c r="B389" s="201"/>
      <c r="C389" s="201"/>
      <c r="D389" s="201"/>
      <c r="E389" s="202"/>
      <c r="F389" s="201"/>
      <c r="G389" s="204"/>
      <c r="H389" s="201"/>
    </row>
    <row r="390">
      <c r="A390" s="201"/>
      <c r="B390" s="201"/>
      <c r="C390" s="201"/>
      <c r="D390" s="201"/>
      <c r="E390" s="202"/>
      <c r="F390" s="201"/>
      <c r="G390" s="204"/>
      <c r="H390" s="201"/>
    </row>
    <row r="391">
      <c r="A391" s="201"/>
      <c r="B391" s="201"/>
      <c r="C391" s="201"/>
      <c r="D391" s="201"/>
      <c r="E391" s="202"/>
      <c r="F391" s="201"/>
      <c r="G391" s="204"/>
      <c r="H391" s="201"/>
    </row>
    <row r="392">
      <c r="A392" s="201"/>
      <c r="B392" s="201"/>
      <c r="C392" s="201"/>
      <c r="D392" s="201"/>
      <c r="E392" s="202"/>
      <c r="F392" s="201"/>
      <c r="G392" s="204"/>
      <c r="H392" s="201"/>
    </row>
    <row r="393">
      <c r="A393" s="201"/>
      <c r="B393" s="201"/>
      <c r="C393" s="201"/>
      <c r="D393" s="201"/>
      <c r="E393" s="202"/>
      <c r="F393" s="201"/>
      <c r="G393" s="204"/>
      <c r="H393" s="201"/>
    </row>
    <row r="394">
      <c r="A394" s="201"/>
      <c r="B394" s="201"/>
      <c r="C394" s="201"/>
      <c r="D394" s="201"/>
      <c r="E394" s="202"/>
      <c r="F394" s="201"/>
      <c r="G394" s="204"/>
      <c r="H394" s="201"/>
    </row>
    <row r="395">
      <c r="A395" s="201"/>
      <c r="B395" s="201"/>
      <c r="C395" s="201"/>
      <c r="D395" s="201"/>
      <c r="E395" s="202"/>
      <c r="F395" s="201"/>
      <c r="G395" s="204"/>
      <c r="H395" s="201"/>
    </row>
    <row r="396">
      <c r="A396" s="201"/>
      <c r="B396" s="201"/>
      <c r="C396" s="201"/>
      <c r="D396" s="201"/>
      <c r="E396" s="202"/>
      <c r="F396" s="201"/>
      <c r="G396" s="204"/>
      <c r="H396" s="201"/>
    </row>
    <row r="397">
      <c r="A397" s="201"/>
      <c r="B397" s="201"/>
      <c r="C397" s="201"/>
      <c r="D397" s="201"/>
      <c r="E397" s="202"/>
      <c r="F397" s="201"/>
      <c r="G397" s="204"/>
      <c r="H397" s="201"/>
    </row>
    <row r="398">
      <c r="A398" s="201"/>
      <c r="B398" s="201"/>
      <c r="C398" s="201"/>
      <c r="D398" s="201"/>
      <c r="E398" s="202"/>
      <c r="F398" s="201"/>
      <c r="G398" s="204"/>
      <c r="H398" s="201"/>
    </row>
    <row r="399">
      <c r="A399" s="201"/>
      <c r="B399" s="201"/>
      <c r="C399" s="201"/>
      <c r="D399" s="201"/>
      <c r="E399" s="202"/>
      <c r="F399" s="201"/>
      <c r="G399" s="204"/>
      <c r="H399" s="201"/>
    </row>
    <row r="400">
      <c r="A400" s="201"/>
      <c r="B400" s="201"/>
      <c r="C400" s="201"/>
      <c r="D400" s="201"/>
      <c r="E400" s="202"/>
      <c r="F400" s="201"/>
      <c r="G400" s="204"/>
      <c r="H400" s="201"/>
    </row>
    <row r="401">
      <c r="A401" s="201"/>
      <c r="B401" s="201"/>
      <c r="C401" s="201"/>
      <c r="D401" s="201"/>
      <c r="E401" s="202"/>
      <c r="F401" s="201"/>
      <c r="G401" s="204"/>
      <c r="H401" s="201"/>
    </row>
    <row r="402">
      <c r="A402" s="201"/>
      <c r="B402" s="201"/>
      <c r="C402" s="201"/>
      <c r="D402" s="201"/>
      <c r="E402" s="202"/>
      <c r="F402" s="201"/>
      <c r="G402" s="204"/>
      <c r="H402" s="201"/>
    </row>
    <row r="403">
      <c r="A403" s="201"/>
      <c r="B403" s="201"/>
      <c r="C403" s="201"/>
      <c r="D403" s="201"/>
      <c r="E403" s="202"/>
      <c r="F403" s="201"/>
      <c r="G403" s="204"/>
      <c r="H403" s="201"/>
    </row>
    <row r="404">
      <c r="A404" s="201"/>
      <c r="B404" s="201"/>
      <c r="C404" s="201"/>
      <c r="D404" s="201"/>
      <c r="E404" s="202"/>
      <c r="F404" s="201"/>
      <c r="G404" s="204"/>
      <c r="H404" s="201"/>
    </row>
    <row r="405">
      <c r="A405" s="201"/>
      <c r="B405" s="201"/>
      <c r="C405" s="201"/>
      <c r="D405" s="201"/>
      <c r="E405" s="202"/>
      <c r="F405" s="201"/>
      <c r="G405" s="204"/>
      <c r="H405" s="201"/>
    </row>
    <row r="406">
      <c r="A406" s="201"/>
      <c r="B406" s="201"/>
      <c r="C406" s="201"/>
      <c r="D406" s="201"/>
      <c r="E406" s="202"/>
      <c r="F406" s="201"/>
      <c r="G406" s="204"/>
      <c r="H406" s="201"/>
    </row>
    <row r="407">
      <c r="A407" s="201"/>
      <c r="B407" s="201"/>
      <c r="C407" s="201"/>
      <c r="D407" s="201"/>
      <c r="E407" s="202"/>
      <c r="F407" s="201"/>
      <c r="G407" s="204"/>
      <c r="H407" s="201"/>
    </row>
    <row r="408">
      <c r="A408" s="201"/>
      <c r="B408" s="201"/>
      <c r="C408" s="201"/>
      <c r="D408" s="201"/>
      <c r="E408" s="202"/>
      <c r="F408" s="201"/>
      <c r="G408" s="204"/>
      <c r="H408" s="201"/>
    </row>
    <row r="409">
      <c r="A409" s="201"/>
      <c r="B409" s="201"/>
      <c r="C409" s="201"/>
      <c r="D409" s="201"/>
      <c r="E409" s="202"/>
      <c r="F409" s="201"/>
      <c r="G409" s="204"/>
      <c r="H409" s="201"/>
    </row>
    <row r="410">
      <c r="A410" s="201"/>
      <c r="B410" s="201"/>
      <c r="C410" s="201"/>
      <c r="D410" s="201"/>
      <c r="E410" s="202"/>
      <c r="F410" s="201"/>
      <c r="G410" s="204"/>
      <c r="H410" s="201"/>
    </row>
    <row r="411">
      <c r="A411" s="201"/>
      <c r="B411" s="201"/>
      <c r="C411" s="201"/>
      <c r="D411" s="201"/>
      <c r="E411" s="202"/>
      <c r="F411" s="201"/>
      <c r="G411" s="204"/>
      <c r="H411" s="201"/>
    </row>
    <row r="412">
      <c r="A412" s="201"/>
      <c r="B412" s="201"/>
      <c r="C412" s="201"/>
      <c r="D412" s="201"/>
      <c r="E412" s="202"/>
      <c r="F412" s="201"/>
      <c r="G412" s="204"/>
      <c r="H412" s="201"/>
    </row>
    <row r="413">
      <c r="A413" s="201"/>
      <c r="B413" s="201"/>
      <c r="C413" s="201"/>
      <c r="D413" s="201"/>
      <c r="E413" s="202"/>
      <c r="F413" s="201"/>
      <c r="G413" s="204"/>
      <c r="H413" s="201"/>
    </row>
    <row r="414">
      <c r="A414" s="201"/>
      <c r="B414" s="201"/>
      <c r="C414" s="201"/>
      <c r="D414" s="201"/>
      <c r="E414" s="202"/>
      <c r="F414" s="201"/>
      <c r="G414" s="204"/>
      <c r="H414" s="201"/>
    </row>
    <row r="415">
      <c r="A415" s="201"/>
      <c r="B415" s="201"/>
      <c r="C415" s="201"/>
      <c r="D415" s="201"/>
      <c r="E415" s="202"/>
      <c r="F415" s="201"/>
      <c r="G415" s="204"/>
      <c r="H415" s="201"/>
    </row>
    <row r="416">
      <c r="A416" s="201"/>
      <c r="B416" s="201"/>
      <c r="C416" s="201"/>
      <c r="D416" s="201"/>
      <c r="E416" s="202"/>
      <c r="F416" s="201"/>
      <c r="G416" s="204"/>
      <c r="H416" s="201"/>
    </row>
    <row r="417">
      <c r="A417" s="201"/>
      <c r="B417" s="201"/>
      <c r="C417" s="201"/>
      <c r="D417" s="201"/>
      <c r="E417" s="202"/>
      <c r="F417" s="201"/>
      <c r="G417" s="204"/>
      <c r="H417" s="201"/>
    </row>
    <row r="418">
      <c r="A418" s="201"/>
      <c r="B418" s="201"/>
      <c r="C418" s="201"/>
      <c r="D418" s="201"/>
      <c r="E418" s="202"/>
      <c r="F418" s="201"/>
      <c r="G418" s="204"/>
      <c r="H418" s="201"/>
    </row>
    <row r="419">
      <c r="A419" s="201"/>
      <c r="B419" s="201"/>
      <c r="C419" s="201"/>
      <c r="D419" s="201"/>
      <c r="E419" s="202"/>
      <c r="F419" s="201"/>
      <c r="G419" s="204"/>
      <c r="H419" s="201"/>
    </row>
    <row r="420">
      <c r="A420" s="201"/>
      <c r="B420" s="201"/>
      <c r="C420" s="201"/>
      <c r="D420" s="201"/>
      <c r="E420" s="202"/>
      <c r="F420" s="201"/>
      <c r="G420" s="204"/>
      <c r="H420" s="201"/>
    </row>
    <row r="421">
      <c r="A421" s="201"/>
      <c r="B421" s="201"/>
      <c r="C421" s="201"/>
      <c r="D421" s="201"/>
      <c r="E421" s="202"/>
      <c r="F421" s="201"/>
      <c r="G421" s="204"/>
      <c r="H421" s="201"/>
    </row>
    <row r="422">
      <c r="A422" s="201"/>
      <c r="B422" s="201"/>
      <c r="C422" s="201"/>
      <c r="D422" s="201"/>
      <c r="E422" s="202"/>
      <c r="F422" s="201"/>
      <c r="G422" s="204"/>
      <c r="H422" s="201"/>
    </row>
    <row r="423">
      <c r="A423" s="201"/>
      <c r="B423" s="201"/>
      <c r="C423" s="201"/>
      <c r="D423" s="201"/>
      <c r="E423" s="202"/>
      <c r="F423" s="201"/>
      <c r="G423" s="204"/>
      <c r="H423" s="201"/>
    </row>
    <row r="424">
      <c r="A424" s="201"/>
      <c r="B424" s="201"/>
      <c r="C424" s="201"/>
      <c r="D424" s="201"/>
      <c r="E424" s="202"/>
      <c r="F424" s="201"/>
      <c r="G424" s="204"/>
      <c r="H424" s="201"/>
    </row>
    <row r="425">
      <c r="A425" s="201"/>
      <c r="B425" s="201"/>
      <c r="C425" s="201"/>
      <c r="D425" s="201"/>
      <c r="E425" s="202"/>
      <c r="F425" s="201"/>
      <c r="G425" s="204"/>
      <c r="H425" s="201"/>
    </row>
    <row r="426">
      <c r="A426" s="201"/>
      <c r="B426" s="201"/>
      <c r="C426" s="201"/>
      <c r="D426" s="201"/>
      <c r="E426" s="202"/>
      <c r="F426" s="201"/>
      <c r="G426" s="204"/>
      <c r="H426" s="201"/>
    </row>
    <row r="427">
      <c r="A427" s="201"/>
      <c r="B427" s="201"/>
      <c r="C427" s="201"/>
      <c r="D427" s="201"/>
      <c r="E427" s="202"/>
      <c r="F427" s="201"/>
      <c r="G427" s="204"/>
      <c r="H427" s="201"/>
    </row>
    <row r="428">
      <c r="A428" s="201"/>
      <c r="B428" s="201"/>
      <c r="C428" s="201"/>
      <c r="D428" s="201"/>
      <c r="E428" s="202"/>
      <c r="F428" s="201"/>
      <c r="G428" s="204"/>
      <c r="H428" s="201"/>
    </row>
    <row r="429">
      <c r="A429" s="201"/>
      <c r="B429" s="201"/>
      <c r="C429" s="201"/>
      <c r="D429" s="201"/>
      <c r="E429" s="202"/>
      <c r="F429" s="201"/>
      <c r="G429" s="204"/>
      <c r="H429" s="201"/>
    </row>
    <row r="430">
      <c r="A430" s="201"/>
      <c r="B430" s="201"/>
      <c r="C430" s="201"/>
      <c r="D430" s="201"/>
      <c r="E430" s="202"/>
      <c r="F430" s="201"/>
      <c r="G430" s="204"/>
      <c r="H430" s="201"/>
    </row>
    <row r="431">
      <c r="A431" s="201"/>
      <c r="B431" s="201"/>
      <c r="C431" s="201"/>
      <c r="D431" s="201"/>
      <c r="E431" s="202"/>
      <c r="F431" s="201"/>
      <c r="G431" s="204"/>
      <c r="H431" s="201"/>
    </row>
    <row r="432">
      <c r="A432" s="201"/>
      <c r="B432" s="201"/>
      <c r="C432" s="201"/>
      <c r="D432" s="201"/>
      <c r="E432" s="202"/>
      <c r="F432" s="201"/>
      <c r="G432" s="204"/>
      <c r="H432" s="201"/>
    </row>
    <row r="433">
      <c r="A433" s="201"/>
      <c r="B433" s="201"/>
      <c r="C433" s="201"/>
      <c r="D433" s="201"/>
      <c r="E433" s="202"/>
      <c r="F433" s="201"/>
      <c r="G433" s="204"/>
      <c r="H433" s="201"/>
    </row>
    <row r="434">
      <c r="A434" s="201"/>
      <c r="B434" s="201"/>
      <c r="C434" s="201"/>
      <c r="D434" s="201"/>
      <c r="E434" s="202"/>
      <c r="F434" s="201"/>
      <c r="G434" s="204"/>
      <c r="H434" s="201"/>
    </row>
    <row r="435">
      <c r="A435" s="201"/>
      <c r="B435" s="201"/>
      <c r="C435" s="201"/>
      <c r="D435" s="201"/>
      <c r="E435" s="202"/>
      <c r="F435" s="201"/>
      <c r="G435" s="204"/>
      <c r="H435" s="201"/>
    </row>
    <row r="436">
      <c r="A436" s="201"/>
      <c r="B436" s="201"/>
      <c r="C436" s="201"/>
      <c r="D436" s="201"/>
      <c r="E436" s="202"/>
      <c r="F436" s="201"/>
      <c r="G436" s="204"/>
      <c r="H436" s="201"/>
    </row>
    <row r="437">
      <c r="A437" s="201"/>
      <c r="B437" s="201"/>
      <c r="C437" s="201"/>
      <c r="D437" s="201"/>
      <c r="E437" s="202"/>
      <c r="F437" s="201"/>
      <c r="G437" s="204"/>
      <c r="H437" s="201"/>
    </row>
    <row r="438">
      <c r="A438" s="201"/>
      <c r="B438" s="201"/>
      <c r="C438" s="201"/>
      <c r="D438" s="201"/>
      <c r="E438" s="202"/>
      <c r="F438" s="201"/>
      <c r="G438" s="204"/>
      <c r="H438" s="201"/>
    </row>
    <row r="439">
      <c r="A439" s="201"/>
      <c r="B439" s="201"/>
      <c r="C439" s="201"/>
      <c r="D439" s="201"/>
      <c r="E439" s="202"/>
      <c r="F439" s="201"/>
      <c r="G439" s="204"/>
      <c r="H439" s="201"/>
    </row>
    <row r="440">
      <c r="A440" s="201"/>
      <c r="B440" s="201"/>
      <c r="C440" s="201"/>
      <c r="D440" s="201"/>
      <c r="E440" s="202"/>
      <c r="F440" s="201"/>
      <c r="G440" s="204"/>
      <c r="H440" s="201"/>
    </row>
    <row r="441">
      <c r="A441" s="201"/>
      <c r="B441" s="201"/>
      <c r="C441" s="201"/>
      <c r="D441" s="201"/>
      <c r="E441" s="202"/>
      <c r="F441" s="201"/>
      <c r="G441" s="204"/>
      <c r="H441" s="201"/>
    </row>
    <row r="442">
      <c r="A442" s="201"/>
      <c r="B442" s="201"/>
      <c r="C442" s="201"/>
      <c r="D442" s="201"/>
      <c r="E442" s="202"/>
      <c r="F442" s="201"/>
      <c r="G442" s="204"/>
      <c r="H442" s="201"/>
    </row>
    <row r="443">
      <c r="A443" s="201"/>
      <c r="B443" s="201"/>
      <c r="C443" s="201"/>
      <c r="D443" s="201"/>
      <c r="E443" s="202"/>
      <c r="F443" s="201"/>
      <c r="G443" s="204"/>
      <c r="H443" s="201"/>
    </row>
    <row r="444">
      <c r="A444" s="201"/>
      <c r="B444" s="201"/>
      <c r="C444" s="201"/>
      <c r="D444" s="201"/>
      <c r="E444" s="202"/>
      <c r="F444" s="201"/>
      <c r="G444" s="204"/>
      <c r="H444" s="201"/>
    </row>
    <row r="445">
      <c r="A445" s="201"/>
      <c r="B445" s="201"/>
      <c r="C445" s="201"/>
      <c r="D445" s="201"/>
      <c r="E445" s="202"/>
      <c r="F445" s="201"/>
      <c r="G445" s="204"/>
      <c r="H445" s="201"/>
    </row>
    <row r="446">
      <c r="A446" s="201"/>
      <c r="B446" s="201"/>
      <c r="C446" s="201"/>
      <c r="D446" s="201"/>
      <c r="E446" s="202"/>
      <c r="F446" s="201"/>
      <c r="G446" s="204"/>
      <c r="H446" s="201"/>
    </row>
    <row r="447">
      <c r="A447" s="201"/>
      <c r="B447" s="201"/>
      <c r="C447" s="201"/>
      <c r="D447" s="201"/>
      <c r="E447" s="202"/>
      <c r="F447" s="201"/>
      <c r="G447" s="204"/>
      <c r="H447" s="201"/>
    </row>
    <row r="448">
      <c r="A448" s="201"/>
      <c r="B448" s="201"/>
      <c r="C448" s="201"/>
      <c r="D448" s="201"/>
      <c r="E448" s="202"/>
      <c r="F448" s="201"/>
      <c r="G448" s="204"/>
      <c r="H448" s="201"/>
    </row>
    <row r="449">
      <c r="A449" s="201"/>
      <c r="B449" s="201"/>
      <c r="C449" s="201"/>
      <c r="D449" s="201"/>
      <c r="E449" s="202"/>
      <c r="F449" s="201"/>
      <c r="G449" s="204"/>
      <c r="H449" s="201"/>
    </row>
    <row r="450">
      <c r="A450" s="201"/>
      <c r="B450" s="201"/>
      <c r="C450" s="201"/>
      <c r="D450" s="201"/>
      <c r="E450" s="202"/>
      <c r="F450" s="201"/>
      <c r="G450" s="204"/>
      <c r="H450" s="201"/>
    </row>
    <row r="451">
      <c r="A451" s="201"/>
      <c r="B451" s="201"/>
      <c r="C451" s="201"/>
      <c r="D451" s="201"/>
      <c r="E451" s="202"/>
      <c r="F451" s="201"/>
      <c r="G451" s="204"/>
      <c r="H451" s="201"/>
    </row>
    <row r="452">
      <c r="A452" s="201"/>
      <c r="B452" s="201"/>
      <c r="C452" s="201"/>
      <c r="D452" s="201"/>
      <c r="E452" s="202"/>
      <c r="F452" s="201"/>
      <c r="G452" s="204"/>
      <c r="H452" s="201"/>
    </row>
    <row r="453">
      <c r="A453" s="201"/>
      <c r="B453" s="201"/>
      <c r="C453" s="201"/>
      <c r="D453" s="201"/>
      <c r="E453" s="202"/>
      <c r="F453" s="201"/>
      <c r="G453" s="204"/>
      <c r="H453" s="201"/>
    </row>
    <row r="454">
      <c r="A454" s="201"/>
      <c r="B454" s="201"/>
      <c r="C454" s="201"/>
      <c r="D454" s="201"/>
      <c r="E454" s="202"/>
      <c r="F454" s="201"/>
      <c r="G454" s="204"/>
      <c r="H454" s="201"/>
    </row>
    <row r="455">
      <c r="A455" s="201"/>
      <c r="B455" s="201"/>
      <c r="C455" s="201"/>
      <c r="D455" s="201"/>
      <c r="E455" s="202"/>
      <c r="F455" s="201"/>
      <c r="G455" s="204"/>
      <c r="H455" s="201"/>
    </row>
    <row r="456">
      <c r="A456" s="201"/>
      <c r="B456" s="201"/>
      <c r="C456" s="201"/>
      <c r="D456" s="201"/>
      <c r="E456" s="202"/>
      <c r="F456" s="201"/>
      <c r="G456" s="204"/>
      <c r="H456" s="201"/>
    </row>
    <row r="457">
      <c r="A457" s="201"/>
      <c r="B457" s="201"/>
      <c r="C457" s="201"/>
      <c r="D457" s="201"/>
      <c r="E457" s="202"/>
      <c r="F457" s="201"/>
      <c r="G457" s="204"/>
      <c r="H457" s="201"/>
    </row>
    <row r="458">
      <c r="A458" s="201"/>
      <c r="B458" s="201"/>
      <c r="C458" s="201"/>
      <c r="D458" s="201"/>
      <c r="E458" s="202"/>
      <c r="F458" s="201"/>
      <c r="G458" s="204"/>
      <c r="H458" s="201"/>
    </row>
    <row r="459">
      <c r="A459" s="201"/>
      <c r="B459" s="201"/>
      <c r="C459" s="201"/>
      <c r="D459" s="201"/>
      <c r="E459" s="202"/>
      <c r="F459" s="201"/>
      <c r="G459" s="204"/>
      <c r="H459" s="201"/>
    </row>
    <row r="460">
      <c r="A460" s="201"/>
      <c r="B460" s="201"/>
      <c r="C460" s="201"/>
      <c r="D460" s="201"/>
      <c r="E460" s="202"/>
      <c r="F460" s="201"/>
      <c r="G460" s="204"/>
      <c r="H460" s="201"/>
    </row>
    <row r="461">
      <c r="A461" s="201"/>
      <c r="B461" s="201"/>
      <c r="C461" s="201"/>
      <c r="D461" s="201"/>
      <c r="E461" s="202"/>
      <c r="F461" s="201"/>
      <c r="G461" s="204"/>
      <c r="H461" s="201"/>
    </row>
    <row r="462">
      <c r="A462" s="201"/>
      <c r="B462" s="201"/>
      <c r="C462" s="201"/>
      <c r="D462" s="201"/>
      <c r="E462" s="202"/>
      <c r="F462" s="201"/>
      <c r="G462" s="204"/>
      <c r="H462" s="201"/>
    </row>
    <row r="463">
      <c r="A463" s="201"/>
      <c r="B463" s="201"/>
      <c r="C463" s="201"/>
      <c r="D463" s="201"/>
      <c r="E463" s="202"/>
      <c r="F463" s="201"/>
      <c r="G463" s="204"/>
      <c r="H463" s="201"/>
    </row>
    <row r="464">
      <c r="A464" s="201"/>
      <c r="B464" s="201"/>
      <c r="C464" s="201"/>
      <c r="D464" s="201"/>
      <c r="E464" s="202"/>
      <c r="F464" s="201"/>
      <c r="G464" s="204"/>
      <c r="H464" s="201"/>
    </row>
    <row r="465">
      <c r="A465" s="201"/>
      <c r="B465" s="201"/>
      <c r="C465" s="201"/>
      <c r="D465" s="201"/>
      <c r="E465" s="202"/>
      <c r="F465" s="201"/>
      <c r="G465" s="204"/>
      <c r="H465" s="201"/>
    </row>
    <row r="466">
      <c r="A466" s="201"/>
      <c r="B466" s="201"/>
      <c r="C466" s="201"/>
      <c r="D466" s="201"/>
      <c r="E466" s="202"/>
      <c r="F466" s="201"/>
      <c r="G466" s="204"/>
      <c r="H466" s="201"/>
    </row>
    <row r="467">
      <c r="A467" s="201"/>
      <c r="B467" s="201"/>
      <c r="C467" s="201"/>
      <c r="D467" s="201"/>
      <c r="E467" s="202"/>
      <c r="F467" s="201"/>
      <c r="G467" s="204"/>
      <c r="H467" s="201"/>
    </row>
    <row r="468">
      <c r="A468" s="201"/>
      <c r="B468" s="201"/>
      <c r="C468" s="201"/>
      <c r="D468" s="201"/>
      <c r="E468" s="202"/>
      <c r="F468" s="201"/>
      <c r="G468" s="204"/>
      <c r="H468" s="201"/>
    </row>
    <row r="469">
      <c r="A469" s="201"/>
      <c r="B469" s="201"/>
      <c r="C469" s="201"/>
      <c r="D469" s="201"/>
      <c r="E469" s="202"/>
      <c r="F469" s="201"/>
      <c r="G469" s="204"/>
      <c r="H469" s="201"/>
    </row>
    <row r="470">
      <c r="A470" s="201"/>
      <c r="B470" s="201"/>
      <c r="C470" s="201"/>
      <c r="D470" s="201"/>
      <c r="E470" s="202"/>
      <c r="F470" s="201"/>
      <c r="G470" s="204"/>
      <c r="H470" s="201"/>
    </row>
    <row r="471">
      <c r="A471" s="201"/>
      <c r="B471" s="201"/>
      <c r="C471" s="201"/>
      <c r="D471" s="201"/>
      <c r="E471" s="202"/>
      <c r="F471" s="201"/>
      <c r="G471" s="204"/>
      <c r="H471" s="201"/>
    </row>
    <row r="472">
      <c r="A472" s="201"/>
      <c r="B472" s="201"/>
      <c r="C472" s="201"/>
      <c r="D472" s="201"/>
      <c r="E472" s="202"/>
      <c r="F472" s="201"/>
      <c r="G472" s="204"/>
      <c r="H472" s="201"/>
    </row>
    <row r="473">
      <c r="A473" s="201"/>
      <c r="B473" s="201"/>
      <c r="C473" s="201"/>
      <c r="D473" s="201"/>
      <c r="E473" s="202"/>
      <c r="F473" s="201"/>
      <c r="G473" s="204"/>
      <c r="H473" s="201"/>
    </row>
    <row r="474">
      <c r="A474" s="201"/>
      <c r="B474" s="201"/>
      <c r="C474" s="201"/>
      <c r="D474" s="201"/>
      <c r="E474" s="202"/>
      <c r="F474" s="201"/>
      <c r="G474" s="204"/>
      <c r="H474" s="201"/>
    </row>
    <row r="475">
      <c r="A475" s="201"/>
      <c r="B475" s="201"/>
      <c r="C475" s="201"/>
      <c r="D475" s="201"/>
      <c r="E475" s="202"/>
      <c r="F475" s="201"/>
      <c r="G475" s="204"/>
      <c r="H475" s="201"/>
    </row>
    <row r="476">
      <c r="A476" s="201"/>
      <c r="B476" s="201"/>
      <c r="C476" s="201"/>
      <c r="D476" s="201"/>
      <c r="E476" s="202"/>
      <c r="F476" s="201"/>
      <c r="G476" s="204"/>
      <c r="H476" s="201"/>
    </row>
    <row r="477">
      <c r="A477" s="201"/>
      <c r="B477" s="201"/>
      <c r="C477" s="201"/>
      <c r="D477" s="201"/>
      <c r="E477" s="202"/>
      <c r="F477" s="201"/>
      <c r="G477" s="204"/>
      <c r="H477" s="201"/>
    </row>
    <row r="478">
      <c r="A478" s="201"/>
      <c r="B478" s="201"/>
      <c r="C478" s="201"/>
      <c r="D478" s="201"/>
      <c r="E478" s="202"/>
      <c r="F478" s="201"/>
      <c r="G478" s="204"/>
      <c r="H478" s="201"/>
    </row>
    <row r="479">
      <c r="A479" s="201"/>
      <c r="B479" s="201"/>
      <c r="C479" s="201"/>
      <c r="D479" s="201"/>
      <c r="E479" s="202"/>
      <c r="F479" s="201"/>
      <c r="G479" s="204"/>
      <c r="H479" s="201"/>
    </row>
    <row r="480">
      <c r="A480" s="201"/>
      <c r="B480" s="201"/>
      <c r="C480" s="201"/>
      <c r="D480" s="201"/>
      <c r="E480" s="202"/>
      <c r="F480" s="201"/>
      <c r="G480" s="204"/>
      <c r="H480" s="201"/>
    </row>
    <row r="481">
      <c r="A481" s="201"/>
      <c r="B481" s="201"/>
      <c r="C481" s="201"/>
      <c r="D481" s="201"/>
      <c r="E481" s="202"/>
      <c r="F481" s="201"/>
      <c r="G481" s="204"/>
      <c r="H481" s="201"/>
    </row>
    <row r="482">
      <c r="A482" s="201"/>
      <c r="B482" s="201"/>
      <c r="C482" s="201"/>
      <c r="D482" s="201"/>
      <c r="E482" s="202"/>
      <c r="F482" s="201"/>
      <c r="G482" s="204"/>
      <c r="H482" s="201"/>
    </row>
    <row r="483">
      <c r="A483" s="201"/>
      <c r="B483" s="201"/>
      <c r="C483" s="201"/>
      <c r="D483" s="201"/>
      <c r="E483" s="202"/>
      <c r="F483" s="201"/>
      <c r="G483" s="204"/>
      <c r="H483" s="201"/>
    </row>
    <row r="484">
      <c r="A484" s="201"/>
      <c r="B484" s="201"/>
      <c r="C484" s="201"/>
      <c r="D484" s="201"/>
      <c r="E484" s="202"/>
      <c r="F484" s="201"/>
      <c r="G484" s="204"/>
      <c r="H484" s="201"/>
    </row>
    <row r="485">
      <c r="A485" s="201"/>
      <c r="B485" s="201"/>
      <c r="C485" s="201"/>
      <c r="D485" s="201"/>
      <c r="E485" s="202"/>
      <c r="F485" s="201"/>
      <c r="G485" s="204"/>
      <c r="H485" s="201"/>
    </row>
    <row r="486">
      <c r="A486" s="201"/>
      <c r="B486" s="201"/>
      <c r="C486" s="201"/>
      <c r="D486" s="201"/>
      <c r="E486" s="202"/>
      <c r="F486" s="201"/>
      <c r="G486" s="204"/>
      <c r="H486" s="201"/>
    </row>
    <row r="487">
      <c r="A487" s="201"/>
      <c r="B487" s="201"/>
      <c r="C487" s="201"/>
      <c r="D487" s="201"/>
      <c r="E487" s="202"/>
      <c r="F487" s="201"/>
      <c r="G487" s="204"/>
      <c r="H487" s="201"/>
    </row>
    <row r="488">
      <c r="A488" s="201"/>
      <c r="B488" s="201"/>
      <c r="C488" s="201"/>
      <c r="D488" s="201"/>
      <c r="E488" s="202"/>
      <c r="F488" s="201"/>
      <c r="G488" s="204"/>
      <c r="H488" s="201"/>
    </row>
    <row r="489">
      <c r="A489" s="201"/>
      <c r="B489" s="201"/>
      <c r="C489" s="201"/>
      <c r="D489" s="201"/>
      <c r="E489" s="202"/>
      <c r="F489" s="201"/>
      <c r="G489" s="204"/>
      <c r="H489" s="201"/>
    </row>
    <row r="490">
      <c r="A490" s="201"/>
      <c r="B490" s="201"/>
      <c r="C490" s="201"/>
      <c r="D490" s="201"/>
      <c r="E490" s="202"/>
      <c r="F490" s="201"/>
      <c r="G490" s="204"/>
      <c r="H490" s="201"/>
    </row>
    <row r="491">
      <c r="A491" s="201"/>
      <c r="B491" s="201"/>
      <c r="C491" s="201"/>
      <c r="D491" s="201"/>
      <c r="E491" s="202"/>
      <c r="F491" s="201"/>
      <c r="G491" s="204"/>
      <c r="H491" s="201"/>
    </row>
    <row r="492">
      <c r="A492" s="201"/>
      <c r="B492" s="201"/>
      <c r="C492" s="201"/>
      <c r="D492" s="201"/>
      <c r="E492" s="202"/>
      <c r="F492" s="201"/>
      <c r="G492" s="204"/>
      <c r="H492" s="201"/>
    </row>
    <row r="493">
      <c r="A493" s="201"/>
      <c r="B493" s="201"/>
      <c r="C493" s="201"/>
      <c r="D493" s="201"/>
      <c r="E493" s="202"/>
      <c r="F493" s="201"/>
      <c r="G493" s="204"/>
      <c r="H493" s="201"/>
    </row>
    <row r="494">
      <c r="A494" s="201"/>
      <c r="B494" s="201"/>
      <c r="C494" s="201"/>
      <c r="D494" s="201"/>
      <c r="E494" s="202"/>
      <c r="F494" s="201"/>
      <c r="G494" s="204"/>
      <c r="H494" s="201"/>
    </row>
    <row r="495">
      <c r="A495" s="201"/>
      <c r="B495" s="201"/>
      <c r="C495" s="201"/>
      <c r="D495" s="201"/>
      <c r="E495" s="202"/>
      <c r="F495" s="201"/>
      <c r="G495" s="204"/>
      <c r="H495" s="201"/>
    </row>
    <row r="496">
      <c r="A496" s="201"/>
      <c r="B496" s="201"/>
      <c r="C496" s="201"/>
      <c r="D496" s="201"/>
      <c r="E496" s="202"/>
      <c r="F496" s="201"/>
      <c r="G496" s="204"/>
      <c r="H496" s="201"/>
    </row>
    <row r="497">
      <c r="A497" s="201"/>
      <c r="B497" s="201"/>
      <c r="C497" s="201"/>
      <c r="D497" s="201"/>
      <c r="E497" s="202"/>
      <c r="F497" s="201"/>
      <c r="G497" s="204"/>
      <c r="H497" s="201"/>
    </row>
    <row r="498">
      <c r="A498" s="201"/>
      <c r="B498" s="201"/>
      <c r="C498" s="201"/>
      <c r="D498" s="201"/>
      <c r="E498" s="202"/>
      <c r="F498" s="201"/>
      <c r="G498" s="204"/>
      <c r="H498" s="201"/>
    </row>
    <row r="499">
      <c r="A499" s="201"/>
      <c r="B499" s="201"/>
      <c r="C499" s="201"/>
      <c r="D499" s="201"/>
      <c r="E499" s="202"/>
      <c r="F499" s="201"/>
      <c r="G499" s="204"/>
      <c r="H499" s="201"/>
    </row>
    <row r="500">
      <c r="A500" s="201"/>
      <c r="B500" s="201"/>
      <c r="C500" s="201"/>
      <c r="D500" s="201"/>
      <c r="E500" s="202"/>
      <c r="F500" s="201"/>
      <c r="G500" s="204"/>
      <c r="H500" s="201"/>
    </row>
    <row r="501">
      <c r="A501" s="201"/>
      <c r="B501" s="201"/>
      <c r="C501" s="201"/>
      <c r="D501" s="201"/>
      <c r="E501" s="202"/>
      <c r="F501" s="201"/>
      <c r="G501" s="204"/>
      <c r="H501" s="201"/>
    </row>
    <row r="502">
      <c r="A502" s="201"/>
      <c r="B502" s="201"/>
      <c r="C502" s="201"/>
      <c r="D502" s="201"/>
      <c r="E502" s="202"/>
      <c r="F502" s="201"/>
      <c r="G502" s="204"/>
      <c r="H502" s="201"/>
    </row>
    <row r="503">
      <c r="A503" s="201"/>
      <c r="B503" s="201"/>
      <c r="C503" s="201"/>
      <c r="D503" s="201"/>
      <c r="E503" s="202"/>
      <c r="F503" s="201"/>
      <c r="G503" s="204"/>
      <c r="H503" s="201"/>
    </row>
    <row r="504">
      <c r="A504" s="201"/>
      <c r="B504" s="201"/>
      <c r="C504" s="201"/>
      <c r="D504" s="201"/>
      <c r="E504" s="202"/>
      <c r="F504" s="201"/>
      <c r="G504" s="204"/>
      <c r="H504" s="201"/>
    </row>
    <row r="505">
      <c r="A505" s="201"/>
      <c r="B505" s="201"/>
      <c r="C505" s="201"/>
      <c r="D505" s="201"/>
      <c r="E505" s="202"/>
      <c r="F505" s="201"/>
      <c r="G505" s="204"/>
      <c r="H505" s="201"/>
    </row>
    <row r="506">
      <c r="A506" s="201"/>
      <c r="B506" s="201"/>
      <c r="C506" s="201"/>
      <c r="D506" s="201"/>
      <c r="E506" s="202"/>
      <c r="F506" s="201"/>
      <c r="G506" s="204"/>
      <c r="H506" s="201"/>
    </row>
    <row r="507">
      <c r="A507" s="201"/>
      <c r="B507" s="201"/>
      <c r="C507" s="201"/>
      <c r="D507" s="201"/>
      <c r="E507" s="202"/>
      <c r="F507" s="201"/>
      <c r="G507" s="204"/>
      <c r="H507" s="201"/>
    </row>
    <row r="508">
      <c r="A508" s="201"/>
      <c r="B508" s="201"/>
      <c r="C508" s="201"/>
      <c r="D508" s="201"/>
      <c r="E508" s="202"/>
      <c r="F508" s="201"/>
      <c r="G508" s="204"/>
      <c r="H508" s="201"/>
    </row>
    <row r="509">
      <c r="A509" s="201"/>
      <c r="B509" s="201"/>
      <c r="C509" s="201"/>
      <c r="D509" s="201"/>
      <c r="E509" s="202"/>
      <c r="F509" s="201"/>
      <c r="G509" s="204"/>
      <c r="H509" s="201"/>
    </row>
    <row r="510">
      <c r="A510" s="201"/>
      <c r="B510" s="201"/>
      <c r="C510" s="201"/>
      <c r="D510" s="201"/>
      <c r="E510" s="202"/>
      <c r="F510" s="201"/>
      <c r="G510" s="204"/>
      <c r="H510" s="201"/>
    </row>
    <row r="511">
      <c r="A511" s="201"/>
      <c r="B511" s="201"/>
      <c r="C511" s="201"/>
      <c r="D511" s="201"/>
      <c r="E511" s="202"/>
      <c r="F511" s="201"/>
      <c r="G511" s="204"/>
      <c r="H511" s="201"/>
    </row>
    <row r="512">
      <c r="A512" s="201"/>
      <c r="B512" s="201"/>
      <c r="C512" s="201"/>
      <c r="D512" s="201"/>
      <c r="E512" s="202"/>
      <c r="F512" s="201"/>
      <c r="G512" s="204"/>
      <c r="H512" s="201"/>
    </row>
    <row r="513">
      <c r="A513" s="201"/>
      <c r="B513" s="201"/>
      <c r="C513" s="201"/>
      <c r="D513" s="201"/>
      <c r="E513" s="202"/>
      <c r="F513" s="201"/>
      <c r="G513" s="204"/>
      <c r="H513" s="201"/>
    </row>
    <row r="514">
      <c r="A514" s="201"/>
      <c r="B514" s="201"/>
      <c r="C514" s="201"/>
      <c r="D514" s="201"/>
      <c r="E514" s="202"/>
      <c r="F514" s="201"/>
      <c r="G514" s="204"/>
      <c r="H514" s="201"/>
    </row>
    <row r="515">
      <c r="A515" s="201"/>
      <c r="B515" s="201"/>
      <c r="C515" s="201"/>
      <c r="D515" s="201"/>
      <c r="E515" s="202"/>
      <c r="F515" s="201"/>
      <c r="G515" s="204"/>
      <c r="H515" s="201"/>
    </row>
    <row r="516">
      <c r="A516" s="201"/>
      <c r="B516" s="201"/>
      <c r="C516" s="201"/>
      <c r="D516" s="201"/>
      <c r="E516" s="202"/>
      <c r="F516" s="201"/>
      <c r="G516" s="204"/>
      <c r="H516" s="201"/>
    </row>
    <row r="517">
      <c r="A517" s="201"/>
      <c r="B517" s="201"/>
      <c r="C517" s="201"/>
      <c r="D517" s="201"/>
      <c r="E517" s="202"/>
      <c r="F517" s="201"/>
      <c r="G517" s="204"/>
      <c r="H517" s="201"/>
    </row>
    <row r="518">
      <c r="A518" s="201"/>
      <c r="B518" s="201"/>
      <c r="C518" s="201"/>
      <c r="D518" s="201"/>
      <c r="E518" s="202"/>
      <c r="F518" s="201"/>
      <c r="G518" s="204"/>
      <c r="H518" s="201"/>
    </row>
    <row r="519">
      <c r="A519" s="201"/>
      <c r="B519" s="201"/>
      <c r="C519" s="201"/>
      <c r="D519" s="201"/>
      <c r="E519" s="202"/>
      <c r="F519" s="201"/>
      <c r="G519" s="204"/>
      <c r="H519" s="201"/>
    </row>
    <row r="520">
      <c r="A520" s="201"/>
      <c r="B520" s="201"/>
      <c r="C520" s="201"/>
      <c r="D520" s="201"/>
      <c r="E520" s="202"/>
      <c r="F520" s="201"/>
      <c r="G520" s="204"/>
      <c r="H520" s="201"/>
    </row>
    <row r="521">
      <c r="A521" s="201"/>
      <c r="B521" s="201"/>
      <c r="C521" s="201"/>
      <c r="D521" s="201"/>
      <c r="E521" s="202"/>
      <c r="F521" s="201"/>
      <c r="G521" s="204"/>
      <c r="H521" s="201"/>
    </row>
    <row r="522">
      <c r="A522" s="201"/>
      <c r="B522" s="201"/>
      <c r="C522" s="201"/>
      <c r="D522" s="201"/>
      <c r="E522" s="202"/>
      <c r="F522" s="201"/>
      <c r="G522" s="204"/>
      <c r="H522" s="201"/>
    </row>
    <row r="523">
      <c r="A523" s="201"/>
      <c r="B523" s="201"/>
      <c r="C523" s="201"/>
      <c r="D523" s="201"/>
      <c r="E523" s="202"/>
      <c r="F523" s="201"/>
      <c r="G523" s="204"/>
      <c r="H523" s="201"/>
    </row>
    <row r="524">
      <c r="A524" s="201"/>
      <c r="B524" s="201"/>
      <c r="C524" s="201"/>
      <c r="D524" s="201"/>
      <c r="E524" s="202"/>
      <c r="F524" s="201"/>
      <c r="G524" s="204"/>
      <c r="H524" s="201"/>
    </row>
    <row r="525">
      <c r="A525" s="201"/>
      <c r="B525" s="201"/>
      <c r="C525" s="201"/>
      <c r="D525" s="201"/>
      <c r="E525" s="202"/>
      <c r="F525" s="201"/>
      <c r="G525" s="204"/>
      <c r="H525" s="201"/>
    </row>
    <row r="526">
      <c r="A526" s="201"/>
      <c r="B526" s="201"/>
      <c r="C526" s="201"/>
      <c r="D526" s="201"/>
      <c r="E526" s="202"/>
      <c r="F526" s="201"/>
      <c r="G526" s="204"/>
      <c r="H526" s="201"/>
    </row>
    <row r="527">
      <c r="A527" s="201"/>
      <c r="B527" s="201"/>
      <c r="C527" s="201"/>
      <c r="D527" s="201"/>
      <c r="E527" s="202"/>
      <c r="F527" s="201"/>
      <c r="G527" s="204"/>
      <c r="H527" s="201"/>
    </row>
    <row r="528">
      <c r="A528" s="201"/>
      <c r="B528" s="201"/>
      <c r="C528" s="201"/>
      <c r="D528" s="201"/>
      <c r="E528" s="202"/>
      <c r="F528" s="201"/>
      <c r="G528" s="204"/>
      <c r="H528" s="201"/>
    </row>
    <row r="529">
      <c r="A529" s="201"/>
      <c r="B529" s="201"/>
      <c r="C529" s="201"/>
      <c r="D529" s="201"/>
      <c r="E529" s="202"/>
      <c r="F529" s="201"/>
      <c r="G529" s="204"/>
      <c r="H529" s="201"/>
    </row>
    <row r="530">
      <c r="A530" s="201"/>
      <c r="B530" s="201"/>
      <c r="C530" s="201"/>
      <c r="D530" s="201"/>
      <c r="E530" s="202"/>
      <c r="F530" s="201"/>
      <c r="G530" s="204"/>
      <c r="H530" s="201"/>
    </row>
    <row r="531">
      <c r="A531" s="201"/>
      <c r="B531" s="201"/>
      <c r="C531" s="201"/>
      <c r="D531" s="201"/>
      <c r="E531" s="202"/>
      <c r="F531" s="201"/>
      <c r="G531" s="204"/>
      <c r="H531" s="201"/>
    </row>
    <row r="532">
      <c r="A532" s="201"/>
      <c r="B532" s="201"/>
      <c r="C532" s="201"/>
      <c r="D532" s="201"/>
      <c r="E532" s="202"/>
      <c r="F532" s="201"/>
      <c r="G532" s="204"/>
      <c r="H532" s="201"/>
    </row>
    <row r="533">
      <c r="A533" s="201"/>
      <c r="B533" s="201"/>
      <c r="C533" s="201"/>
      <c r="D533" s="201"/>
      <c r="E533" s="202"/>
      <c r="F533" s="201"/>
      <c r="G533" s="204"/>
      <c r="H533" s="201"/>
    </row>
    <row r="534">
      <c r="A534" s="201"/>
      <c r="B534" s="201"/>
      <c r="C534" s="201"/>
      <c r="D534" s="201"/>
      <c r="E534" s="202"/>
      <c r="F534" s="201"/>
      <c r="G534" s="204"/>
      <c r="H534" s="201"/>
    </row>
    <row r="535">
      <c r="A535" s="201"/>
      <c r="B535" s="201"/>
      <c r="C535" s="201"/>
      <c r="D535" s="201"/>
      <c r="E535" s="202"/>
      <c r="F535" s="201"/>
      <c r="G535" s="204"/>
      <c r="H535" s="201"/>
    </row>
    <row r="536">
      <c r="A536" s="201"/>
      <c r="B536" s="201"/>
      <c r="C536" s="201"/>
      <c r="D536" s="201"/>
      <c r="E536" s="202"/>
      <c r="F536" s="201"/>
      <c r="G536" s="204"/>
      <c r="H536" s="201"/>
    </row>
    <row r="537">
      <c r="A537" s="201"/>
      <c r="B537" s="201"/>
      <c r="C537" s="201"/>
      <c r="D537" s="201"/>
      <c r="E537" s="202"/>
      <c r="F537" s="201"/>
      <c r="G537" s="204"/>
      <c r="H537" s="201"/>
    </row>
    <row r="538">
      <c r="A538" s="201"/>
      <c r="B538" s="201"/>
      <c r="C538" s="201"/>
      <c r="D538" s="201"/>
      <c r="E538" s="202"/>
      <c r="F538" s="201"/>
      <c r="G538" s="204"/>
      <c r="H538" s="201"/>
    </row>
    <row r="539">
      <c r="A539" s="201"/>
      <c r="B539" s="201"/>
      <c r="C539" s="201"/>
      <c r="D539" s="201"/>
      <c r="E539" s="202"/>
      <c r="F539" s="201"/>
      <c r="G539" s="204"/>
      <c r="H539" s="201"/>
    </row>
    <row r="540">
      <c r="A540" s="201"/>
      <c r="B540" s="201"/>
      <c r="C540" s="201"/>
      <c r="D540" s="201"/>
      <c r="E540" s="202"/>
      <c r="F540" s="201"/>
      <c r="G540" s="204"/>
      <c r="H540" s="201"/>
    </row>
    <row r="541">
      <c r="A541" s="201"/>
      <c r="B541" s="201"/>
      <c r="C541" s="201"/>
      <c r="D541" s="201"/>
      <c r="E541" s="202"/>
      <c r="F541" s="201"/>
      <c r="G541" s="204"/>
      <c r="H541" s="201"/>
    </row>
    <row r="542">
      <c r="A542" s="201"/>
      <c r="B542" s="201"/>
      <c r="C542" s="201"/>
      <c r="D542" s="201"/>
      <c r="E542" s="202"/>
      <c r="F542" s="201"/>
      <c r="G542" s="204"/>
      <c r="H542" s="201"/>
    </row>
    <row r="543">
      <c r="A543" s="201"/>
      <c r="B543" s="201"/>
      <c r="C543" s="201"/>
      <c r="D543" s="201"/>
      <c r="E543" s="202"/>
      <c r="F543" s="201"/>
      <c r="G543" s="204"/>
      <c r="H543" s="201"/>
    </row>
    <row r="544">
      <c r="A544" s="201"/>
      <c r="B544" s="201"/>
      <c r="C544" s="201"/>
      <c r="D544" s="201"/>
      <c r="E544" s="202"/>
      <c r="F544" s="201"/>
      <c r="G544" s="204"/>
      <c r="H544" s="201"/>
    </row>
    <row r="545">
      <c r="A545" s="201"/>
      <c r="B545" s="201"/>
      <c r="C545" s="201"/>
      <c r="D545" s="201"/>
      <c r="E545" s="202"/>
      <c r="F545" s="201"/>
      <c r="G545" s="204"/>
      <c r="H545" s="201"/>
    </row>
    <row r="546">
      <c r="A546" s="201"/>
      <c r="B546" s="201"/>
      <c r="C546" s="201"/>
      <c r="D546" s="201"/>
      <c r="E546" s="202"/>
      <c r="F546" s="201"/>
      <c r="G546" s="204"/>
      <c r="H546" s="201"/>
    </row>
    <row r="547">
      <c r="A547" s="201"/>
      <c r="B547" s="201"/>
      <c r="C547" s="201"/>
      <c r="D547" s="201"/>
      <c r="E547" s="202"/>
      <c r="F547" s="201"/>
      <c r="G547" s="204"/>
      <c r="H547" s="201"/>
    </row>
    <row r="548">
      <c r="A548" s="201"/>
      <c r="B548" s="201"/>
      <c r="C548" s="201"/>
      <c r="D548" s="201"/>
      <c r="E548" s="202"/>
      <c r="F548" s="201"/>
      <c r="G548" s="204"/>
      <c r="H548" s="201"/>
    </row>
    <row r="549">
      <c r="A549" s="201"/>
      <c r="B549" s="201"/>
      <c r="C549" s="201"/>
      <c r="D549" s="201"/>
      <c r="E549" s="202"/>
      <c r="F549" s="201"/>
      <c r="G549" s="204"/>
      <c r="H549" s="201"/>
    </row>
    <row r="550">
      <c r="A550" s="201"/>
      <c r="B550" s="201"/>
      <c r="C550" s="201"/>
      <c r="D550" s="201"/>
      <c r="E550" s="202"/>
      <c r="F550" s="201"/>
      <c r="G550" s="204"/>
      <c r="H550" s="201"/>
    </row>
    <row r="551">
      <c r="A551" s="201"/>
      <c r="B551" s="201"/>
      <c r="C551" s="201"/>
      <c r="D551" s="201"/>
      <c r="E551" s="202"/>
      <c r="F551" s="201"/>
      <c r="G551" s="204"/>
      <c r="H551" s="201"/>
    </row>
    <row r="552">
      <c r="A552" s="201"/>
      <c r="B552" s="201"/>
      <c r="C552" s="201"/>
      <c r="D552" s="201"/>
      <c r="E552" s="202"/>
      <c r="F552" s="201"/>
      <c r="G552" s="204"/>
      <c r="H552" s="201"/>
    </row>
    <row r="553">
      <c r="A553" s="201"/>
      <c r="B553" s="201"/>
      <c r="C553" s="201"/>
      <c r="D553" s="201"/>
      <c r="E553" s="202"/>
      <c r="F553" s="201"/>
      <c r="G553" s="204"/>
      <c r="H553" s="201"/>
    </row>
    <row r="554">
      <c r="A554" s="201"/>
      <c r="B554" s="201"/>
      <c r="C554" s="201"/>
      <c r="D554" s="201"/>
      <c r="E554" s="202"/>
      <c r="F554" s="201"/>
      <c r="G554" s="204"/>
      <c r="H554" s="201"/>
    </row>
    <row r="555">
      <c r="A555" s="201"/>
      <c r="B555" s="201"/>
      <c r="C555" s="201"/>
      <c r="D555" s="201"/>
      <c r="E555" s="202"/>
      <c r="F555" s="201"/>
      <c r="G555" s="204"/>
      <c r="H555" s="201"/>
    </row>
    <row r="556">
      <c r="A556" s="201"/>
      <c r="B556" s="201"/>
      <c r="C556" s="201"/>
      <c r="D556" s="201"/>
      <c r="E556" s="202"/>
      <c r="F556" s="201"/>
      <c r="G556" s="204"/>
      <c r="H556" s="201"/>
    </row>
    <row r="557">
      <c r="A557" s="201"/>
      <c r="B557" s="201"/>
      <c r="C557" s="201"/>
      <c r="D557" s="201"/>
      <c r="E557" s="202"/>
      <c r="F557" s="201"/>
      <c r="G557" s="204"/>
      <c r="H557" s="201"/>
    </row>
    <row r="558">
      <c r="A558" s="201"/>
      <c r="B558" s="201"/>
      <c r="C558" s="201"/>
      <c r="D558" s="201"/>
      <c r="E558" s="202"/>
      <c r="F558" s="201"/>
      <c r="G558" s="204"/>
      <c r="H558" s="201"/>
    </row>
    <row r="559">
      <c r="A559" s="201"/>
      <c r="B559" s="201"/>
      <c r="C559" s="201"/>
      <c r="D559" s="201"/>
      <c r="E559" s="202"/>
      <c r="F559" s="201"/>
      <c r="G559" s="204"/>
      <c r="H559" s="201"/>
    </row>
    <row r="560">
      <c r="A560" s="201"/>
      <c r="B560" s="201"/>
      <c r="C560" s="201"/>
      <c r="D560" s="201"/>
      <c r="E560" s="202"/>
      <c r="F560" s="201"/>
      <c r="G560" s="204"/>
      <c r="H560" s="201"/>
    </row>
    <row r="561">
      <c r="A561" s="201"/>
      <c r="B561" s="201"/>
      <c r="C561" s="201"/>
      <c r="D561" s="201"/>
      <c r="E561" s="202"/>
      <c r="F561" s="201"/>
      <c r="G561" s="204"/>
      <c r="H561" s="201"/>
    </row>
    <row r="562">
      <c r="A562" s="201"/>
      <c r="B562" s="201"/>
      <c r="C562" s="201"/>
      <c r="D562" s="201"/>
      <c r="E562" s="202"/>
      <c r="F562" s="201"/>
      <c r="G562" s="204"/>
      <c r="H562" s="201"/>
    </row>
    <row r="563">
      <c r="A563" s="201"/>
      <c r="B563" s="201"/>
      <c r="C563" s="201"/>
      <c r="D563" s="201"/>
      <c r="E563" s="202"/>
      <c r="F563" s="201"/>
      <c r="G563" s="204"/>
      <c r="H563" s="201"/>
    </row>
    <row r="564">
      <c r="A564" s="201"/>
      <c r="B564" s="201"/>
      <c r="C564" s="201"/>
      <c r="D564" s="201"/>
      <c r="E564" s="202"/>
      <c r="F564" s="201"/>
      <c r="G564" s="204"/>
      <c r="H564" s="201"/>
    </row>
    <row r="565">
      <c r="A565" s="201"/>
      <c r="B565" s="201"/>
      <c r="C565" s="201"/>
      <c r="D565" s="201"/>
      <c r="E565" s="202"/>
      <c r="F565" s="201"/>
      <c r="G565" s="204"/>
      <c r="H565" s="201"/>
    </row>
    <row r="566">
      <c r="A566" s="201"/>
      <c r="B566" s="201"/>
      <c r="C566" s="201"/>
      <c r="D566" s="201"/>
      <c r="E566" s="202"/>
      <c r="F566" s="201"/>
      <c r="G566" s="204"/>
      <c r="H566" s="201"/>
    </row>
    <row r="567">
      <c r="A567" s="201"/>
      <c r="B567" s="201"/>
      <c r="C567" s="201"/>
      <c r="D567" s="201"/>
      <c r="E567" s="202"/>
      <c r="F567" s="201"/>
      <c r="G567" s="204"/>
      <c r="H567" s="201"/>
    </row>
    <row r="568">
      <c r="A568" s="201"/>
      <c r="B568" s="201"/>
      <c r="C568" s="201"/>
      <c r="D568" s="201"/>
      <c r="E568" s="202"/>
      <c r="F568" s="201"/>
      <c r="G568" s="204"/>
      <c r="H568" s="201"/>
    </row>
    <row r="569">
      <c r="A569" s="201"/>
      <c r="B569" s="201"/>
      <c r="C569" s="201"/>
      <c r="D569" s="201"/>
      <c r="E569" s="202"/>
      <c r="F569" s="201"/>
      <c r="G569" s="204"/>
      <c r="H569" s="201"/>
    </row>
    <row r="570">
      <c r="A570" s="201"/>
      <c r="B570" s="201"/>
      <c r="C570" s="201"/>
      <c r="D570" s="201"/>
      <c r="E570" s="202"/>
      <c r="F570" s="201"/>
      <c r="G570" s="204"/>
      <c r="H570" s="201"/>
    </row>
    <row r="571">
      <c r="A571" s="201"/>
      <c r="B571" s="201"/>
      <c r="C571" s="201"/>
      <c r="D571" s="201"/>
      <c r="E571" s="202"/>
      <c r="F571" s="201"/>
      <c r="G571" s="204"/>
      <c r="H571" s="201"/>
    </row>
    <row r="572">
      <c r="A572" s="201"/>
      <c r="B572" s="201"/>
      <c r="C572" s="201"/>
      <c r="D572" s="201"/>
      <c r="E572" s="202"/>
      <c r="F572" s="201"/>
      <c r="G572" s="204"/>
      <c r="H572" s="201"/>
    </row>
    <row r="573">
      <c r="A573" s="201"/>
      <c r="B573" s="201"/>
      <c r="C573" s="201"/>
      <c r="D573" s="201"/>
      <c r="E573" s="202"/>
      <c r="F573" s="201"/>
      <c r="G573" s="204"/>
      <c r="H573" s="201"/>
    </row>
    <row r="574">
      <c r="A574" s="201"/>
      <c r="B574" s="201"/>
      <c r="C574" s="201"/>
      <c r="D574" s="201"/>
      <c r="E574" s="202"/>
      <c r="F574" s="201"/>
      <c r="G574" s="204"/>
      <c r="H574" s="201"/>
    </row>
    <row r="575">
      <c r="A575" s="201"/>
      <c r="B575" s="201"/>
      <c r="C575" s="201"/>
      <c r="D575" s="201"/>
      <c r="E575" s="202"/>
      <c r="F575" s="201"/>
      <c r="G575" s="204"/>
      <c r="H575" s="201"/>
    </row>
    <row r="576">
      <c r="A576" s="201"/>
      <c r="B576" s="201"/>
      <c r="C576" s="201"/>
      <c r="D576" s="201"/>
      <c r="E576" s="202"/>
      <c r="F576" s="201"/>
      <c r="G576" s="204"/>
      <c r="H576" s="201"/>
    </row>
    <row r="577">
      <c r="A577" s="201"/>
      <c r="B577" s="201"/>
      <c r="C577" s="201"/>
      <c r="D577" s="201"/>
      <c r="E577" s="202"/>
      <c r="F577" s="201"/>
      <c r="G577" s="204"/>
      <c r="H577" s="201"/>
    </row>
    <row r="578">
      <c r="A578" s="201"/>
      <c r="B578" s="201"/>
      <c r="C578" s="201"/>
      <c r="D578" s="201"/>
      <c r="E578" s="202"/>
      <c r="F578" s="201"/>
      <c r="G578" s="204"/>
      <c r="H578" s="201"/>
    </row>
    <row r="579">
      <c r="A579" s="201"/>
      <c r="B579" s="201"/>
      <c r="C579" s="201"/>
      <c r="D579" s="201"/>
      <c r="E579" s="202"/>
      <c r="F579" s="201"/>
      <c r="G579" s="204"/>
      <c r="H579" s="201"/>
    </row>
    <row r="580">
      <c r="A580" s="201"/>
      <c r="B580" s="201"/>
      <c r="C580" s="201"/>
      <c r="D580" s="201"/>
      <c r="E580" s="202"/>
      <c r="F580" s="201"/>
      <c r="G580" s="204"/>
      <c r="H580" s="201"/>
    </row>
    <row r="581">
      <c r="A581" s="201"/>
      <c r="B581" s="201"/>
      <c r="C581" s="201"/>
      <c r="D581" s="201"/>
      <c r="E581" s="202"/>
      <c r="F581" s="201"/>
      <c r="G581" s="204"/>
      <c r="H581" s="201"/>
    </row>
    <row r="582">
      <c r="A582" s="201"/>
      <c r="B582" s="201"/>
      <c r="C582" s="201"/>
      <c r="D582" s="201"/>
      <c r="E582" s="202"/>
      <c r="F582" s="201"/>
      <c r="G582" s="204"/>
      <c r="H582" s="201"/>
    </row>
    <row r="583">
      <c r="A583" s="201"/>
      <c r="B583" s="201"/>
      <c r="C583" s="201"/>
      <c r="D583" s="201"/>
      <c r="E583" s="202"/>
      <c r="F583" s="201"/>
      <c r="G583" s="204"/>
      <c r="H583" s="201"/>
    </row>
    <row r="584">
      <c r="A584" s="201"/>
      <c r="B584" s="201"/>
      <c r="C584" s="201"/>
      <c r="D584" s="201"/>
      <c r="E584" s="202"/>
      <c r="F584" s="201"/>
      <c r="G584" s="204"/>
      <c r="H584" s="201"/>
    </row>
    <row r="585">
      <c r="A585" s="201"/>
      <c r="B585" s="201"/>
      <c r="C585" s="201"/>
      <c r="D585" s="201"/>
      <c r="E585" s="202"/>
      <c r="F585" s="201"/>
      <c r="G585" s="204"/>
      <c r="H585" s="201"/>
    </row>
    <row r="586">
      <c r="A586" s="201"/>
      <c r="B586" s="201"/>
      <c r="C586" s="201"/>
      <c r="D586" s="201"/>
      <c r="E586" s="202"/>
      <c r="F586" s="201"/>
      <c r="G586" s="204"/>
      <c r="H586" s="201"/>
    </row>
    <row r="587">
      <c r="A587" s="201"/>
      <c r="B587" s="201"/>
      <c r="C587" s="201"/>
      <c r="D587" s="201"/>
      <c r="E587" s="202"/>
      <c r="F587" s="201"/>
      <c r="G587" s="204"/>
      <c r="H587" s="201"/>
    </row>
    <row r="588">
      <c r="A588" s="201"/>
      <c r="B588" s="201"/>
      <c r="C588" s="201"/>
      <c r="D588" s="201"/>
      <c r="E588" s="202"/>
      <c r="F588" s="201"/>
      <c r="G588" s="204"/>
      <c r="H588" s="201"/>
    </row>
    <row r="589">
      <c r="A589" s="201"/>
      <c r="B589" s="201"/>
      <c r="C589" s="201"/>
      <c r="D589" s="201"/>
      <c r="E589" s="202"/>
      <c r="F589" s="201"/>
      <c r="G589" s="204"/>
      <c r="H589" s="201"/>
    </row>
    <row r="590">
      <c r="A590" s="201"/>
      <c r="B590" s="201"/>
      <c r="C590" s="201"/>
      <c r="D590" s="201"/>
      <c r="E590" s="202"/>
      <c r="F590" s="201"/>
      <c r="G590" s="204"/>
      <c r="H590" s="201"/>
    </row>
    <row r="591">
      <c r="A591" s="201"/>
      <c r="B591" s="201"/>
      <c r="C591" s="201"/>
      <c r="D591" s="201"/>
      <c r="E591" s="202"/>
      <c r="F591" s="201"/>
      <c r="G591" s="204"/>
      <c r="H591" s="201"/>
    </row>
    <row r="592">
      <c r="A592" s="201"/>
      <c r="B592" s="201"/>
      <c r="C592" s="201"/>
      <c r="D592" s="201"/>
      <c r="E592" s="202"/>
      <c r="F592" s="201"/>
      <c r="G592" s="204"/>
      <c r="H592" s="201"/>
    </row>
    <row r="593">
      <c r="A593" s="201"/>
      <c r="B593" s="201"/>
      <c r="C593" s="201"/>
      <c r="D593" s="201"/>
      <c r="E593" s="202"/>
      <c r="F593" s="201"/>
      <c r="G593" s="204"/>
      <c r="H593" s="201"/>
    </row>
    <row r="594">
      <c r="A594" s="201"/>
      <c r="B594" s="201"/>
      <c r="C594" s="201"/>
      <c r="D594" s="201"/>
      <c r="E594" s="202"/>
      <c r="F594" s="201"/>
      <c r="G594" s="204"/>
      <c r="H594" s="201"/>
    </row>
    <row r="595">
      <c r="A595" s="201"/>
      <c r="B595" s="201"/>
      <c r="C595" s="201"/>
      <c r="D595" s="201"/>
      <c r="E595" s="202"/>
      <c r="F595" s="201"/>
      <c r="G595" s="204"/>
      <c r="H595" s="201"/>
    </row>
    <row r="596">
      <c r="A596" s="201"/>
      <c r="B596" s="201"/>
      <c r="C596" s="201"/>
      <c r="D596" s="201"/>
      <c r="E596" s="202"/>
      <c r="F596" s="201"/>
      <c r="G596" s="204"/>
      <c r="H596" s="201"/>
    </row>
    <row r="597">
      <c r="A597" s="201"/>
      <c r="B597" s="201"/>
      <c r="C597" s="201"/>
      <c r="D597" s="201"/>
      <c r="E597" s="202"/>
      <c r="F597" s="201"/>
      <c r="G597" s="204"/>
      <c r="H597" s="201"/>
    </row>
    <row r="598">
      <c r="A598" s="201"/>
      <c r="B598" s="201"/>
      <c r="C598" s="201"/>
      <c r="D598" s="201"/>
      <c r="E598" s="202"/>
      <c r="F598" s="201"/>
      <c r="G598" s="204"/>
      <c r="H598" s="201"/>
    </row>
    <row r="599">
      <c r="A599" s="201"/>
      <c r="B599" s="201"/>
      <c r="C599" s="201"/>
      <c r="D599" s="201"/>
      <c r="E599" s="202"/>
      <c r="F599" s="201"/>
      <c r="G599" s="204"/>
      <c r="H599" s="201"/>
    </row>
    <row r="600">
      <c r="A600" s="201"/>
      <c r="B600" s="201"/>
      <c r="C600" s="201"/>
      <c r="D600" s="201"/>
      <c r="E600" s="202"/>
      <c r="F600" s="201"/>
      <c r="G600" s="204"/>
      <c r="H600" s="201"/>
    </row>
    <row r="601">
      <c r="A601" s="201"/>
      <c r="B601" s="201"/>
      <c r="C601" s="201"/>
      <c r="D601" s="201"/>
      <c r="E601" s="202"/>
      <c r="F601" s="201"/>
      <c r="G601" s="204"/>
      <c r="H601" s="201"/>
    </row>
    <row r="602">
      <c r="A602" s="201"/>
      <c r="B602" s="201"/>
      <c r="C602" s="201"/>
      <c r="D602" s="201"/>
      <c r="E602" s="202"/>
      <c r="F602" s="201"/>
      <c r="G602" s="204"/>
      <c r="H602" s="201"/>
    </row>
    <row r="603">
      <c r="A603" s="201"/>
      <c r="B603" s="201"/>
      <c r="C603" s="201"/>
      <c r="D603" s="201"/>
      <c r="E603" s="202"/>
      <c r="F603" s="201"/>
      <c r="G603" s="204"/>
      <c r="H603" s="201"/>
    </row>
    <row r="604">
      <c r="A604" s="201"/>
      <c r="B604" s="201"/>
      <c r="C604" s="201"/>
      <c r="D604" s="201"/>
      <c r="E604" s="202"/>
      <c r="F604" s="201"/>
      <c r="G604" s="204"/>
      <c r="H604" s="201"/>
    </row>
    <row r="605">
      <c r="A605" s="201"/>
      <c r="B605" s="201"/>
      <c r="C605" s="201"/>
      <c r="D605" s="201"/>
      <c r="E605" s="202"/>
      <c r="F605" s="201"/>
      <c r="G605" s="204"/>
      <c r="H605" s="201"/>
    </row>
    <row r="606">
      <c r="A606" s="201"/>
      <c r="B606" s="201"/>
      <c r="C606" s="201"/>
      <c r="D606" s="201"/>
      <c r="E606" s="202"/>
      <c r="F606" s="201"/>
      <c r="G606" s="204"/>
      <c r="H606" s="201"/>
    </row>
    <row r="607">
      <c r="A607" s="201"/>
      <c r="B607" s="201"/>
      <c r="C607" s="201"/>
      <c r="D607" s="201"/>
      <c r="E607" s="202"/>
      <c r="F607" s="201"/>
      <c r="G607" s="204"/>
      <c r="H607" s="201"/>
    </row>
    <row r="608">
      <c r="A608" s="201"/>
      <c r="B608" s="201"/>
      <c r="C608" s="201"/>
      <c r="D608" s="201"/>
      <c r="E608" s="202"/>
      <c r="F608" s="201"/>
      <c r="G608" s="204"/>
      <c r="H608" s="201"/>
    </row>
    <row r="609">
      <c r="A609" s="201"/>
      <c r="B609" s="201"/>
      <c r="C609" s="201"/>
      <c r="D609" s="201"/>
      <c r="E609" s="202"/>
      <c r="F609" s="201"/>
      <c r="G609" s="204"/>
      <c r="H609" s="201"/>
    </row>
    <row r="610">
      <c r="A610" s="201"/>
      <c r="B610" s="201"/>
      <c r="C610" s="201"/>
      <c r="D610" s="201"/>
      <c r="E610" s="202"/>
      <c r="F610" s="201"/>
      <c r="G610" s="204"/>
      <c r="H610" s="201"/>
    </row>
    <row r="611">
      <c r="A611" s="201"/>
      <c r="B611" s="201"/>
      <c r="C611" s="201"/>
      <c r="D611" s="201"/>
      <c r="E611" s="202"/>
      <c r="F611" s="201"/>
      <c r="G611" s="204"/>
      <c r="H611" s="201"/>
    </row>
    <row r="612">
      <c r="A612" s="201"/>
      <c r="B612" s="201"/>
      <c r="C612" s="201"/>
      <c r="D612" s="201"/>
      <c r="E612" s="202"/>
      <c r="F612" s="201"/>
      <c r="G612" s="204"/>
      <c r="H612" s="201"/>
    </row>
    <row r="613">
      <c r="A613" s="201"/>
      <c r="B613" s="201"/>
      <c r="C613" s="201"/>
      <c r="D613" s="201"/>
      <c r="E613" s="202"/>
      <c r="F613" s="201"/>
      <c r="G613" s="204"/>
      <c r="H613" s="201"/>
    </row>
    <row r="614">
      <c r="A614" s="201"/>
      <c r="B614" s="201"/>
      <c r="C614" s="201"/>
      <c r="D614" s="201"/>
      <c r="E614" s="202"/>
      <c r="F614" s="201"/>
      <c r="G614" s="204"/>
      <c r="H614" s="201"/>
    </row>
    <row r="615">
      <c r="A615" s="201"/>
      <c r="B615" s="201"/>
      <c r="C615" s="201"/>
      <c r="D615" s="201"/>
      <c r="E615" s="202"/>
      <c r="F615" s="201"/>
      <c r="G615" s="204"/>
      <c r="H615" s="201"/>
    </row>
    <row r="616">
      <c r="A616" s="201"/>
      <c r="B616" s="201"/>
      <c r="C616" s="201"/>
      <c r="D616" s="201"/>
      <c r="E616" s="202"/>
      <c r="F616" s="201"/>
      <c r="G616" s="204"/>
      <c r="H616" s="201"/>
    </row>
    <row r="617">
      <c r="A617" s="201"/>
      <c r="B617" s="201"/>
      <c r="C617" s="201"/>
      <c r="D617" s="201"/>
      <c r="E617" s="202"/>
      <c r="F617" s="201"/>
      <c r="G617" s="204"/>
      <c r="H617" s="201"/>
    </row>
    <row r="618">
      <c r="A618" s="201"/>
      <c r="B618" s="201"/>
      <c r="C618" s="201"/>
      <c r="D618" s="201"/>
      <c r="E618" s="202"/>
      <c r="F618" s="201"/>
      <c r="G618" s="204"/>
      <c r="H618" s="201"/>
    </row>
    <row r="619">
      <c r="A619" s="201"/>
      <c r="B619" s="201"/>
      <c r="C619" s="201"/>
      <c r="D619" s="201"/>
      <c r="E619" s="202"/>
      <c r="F619" s="201"/>
      <c r="G619" s="204"/>
      <c r="H619" s="201"/>
    </row>
    <row r="620">
      <c r="A620" s="201"/>
      <c r="B620" s="201"/>
      <c r="C620" s="201"/>
      <c r="D620" s="201"/>
      <c r="E620" s="202"/>
      <c r="F620" s="201"/>
      <c r="G620" s="204"/>
      <c r="H620" s="201"/>
    </row>
    <row r="621">
      <c r="A621" s="201"/>
      <c r="B621" s="201"/>
      <c r="C621" s="201"/>
      <c r="D621" s="201"/>
      <c r="E621" s="202"/>
      <c r="F621" s="201"/>
      <c r="G621" s="204"/>
      <c r="H621" s="201"/>
    </row>
    <row r="622">
      <c r="A622" s="201"/>
      <c r="B622" s="201"/>
      <c r="C622" s="201"/>
      <c r="D622" s="201"/>
      <c r="E622" s="202"/>
      <c r="F622" s="201"/>
      <c r="G622" s="204"/>
      <c r="H622" s="201"/>
    </row>
    <row r="623">
      <c r="A623" s="201"/>
      <c r="B623" s="201"/>
      <c r="C623" s="201"/>
      <c r="D623" s="201"/>
      <c r="E623" s="202"/>
      <c r="F623" s="201"/>
      <c r="G623" s="204"/>
      <c r="H623" s="201"/>
    </row>
    <row r="624">
      <c r="A624" s="201"/>
      <c r="B624" s="201"/>
      <c r="C624" s="201"/>
      <c r="D624" s="201"/>
      <c r="E624" s="202"/>
      <c r="F624" s="201"/>
      <c r="G624" s="204"/>
      <c r="H624" s="201"/>
    </row>
    <row r="625">
      <c r="A625" s="201"/>
      <c r="B625" s="201"/>
      <c r="C625" s="201"/>
      <c r="D625" s="201"/>
      <c r="E625" s="202"/>
      <c r="F625" s="201"/>
      <c r="G625" s="204"/>
      <c r="H625" s="201"/>
    </row>
    <row r="626">
      <c r="A626" s="201"/>
      <c r="B626" s="201"/>
      <c r="C626" s="201"/>
      <c r="D626" s="201"/>
      <c r="E626" s="202"/>
      <c r="F626" s="201"/>
      <c r="G626" s="204"/>
      <c r="H626" s="201"/>
    </row>
    <row r="627">
      <c r="A627" s="201"/>
      <c r="B627" s="201"/>
      <c r="C627" s="201"/>
      <c r="D627" s="201"/>
      <c r="E627" s="202"/>
      <c r="F627" s="201"/>
      <c r="G627" s="204"/>
      <c r="H627" s="201"/>
    </row>
    <row r="628">
      <c r="A628" s="201"/>
      <c r="B628" s="201"/>
      <c r="C628" s="201"/>
      <c r="D628" s="201"/>
      <c r="E628" s="202"/>
      <c r="F628" s="201"/>
      <c r="G628" s="204"/>
      <c r="H628" s="201"/>
    </row>
    <row r="629">
      <c r="A629" s="201"/>
      <c r="B629" s="201"/>
      <c r="C629" s="201"/>
      <c r="D629" s="201"/>
      <c r="E629" s="202"/>
      <c r="F629" s="201"/>
      <c r="G629" s="204"/>
      <c r="H629" s="201"/>
    </row>
    <row r="630">
      <c r="A630" s="201"/>
      <c r="B630" s="201"/>
      <c r="C630" s="201"/>
      <c r="D630" s="201"/>
      <c r="E630" s="202"/>
      <c r="F630" s="201"/>
      <c r="G630" s="204"/>
      <c r="H630" s="201"/>
    </row>
    <row r="631">
      <c r="A631" s="201"/>
      <c r="B631" s="201"/>
      <c r="C631" s="201"/>
      <c r="D631" s="201"/>
      <c r="E631" s="202"/>
      <c r="F631" s="201"/>
      <c r="G631" s="204"/>
      <c r="H631" s="201"/>
    </row>
    <row r="632">
      <c r="A632" s="201"/>
      <c r="B632" s="201"/>
      <c r="C632" s="201"/>
      <c r="D632" s="201"/>
      <c r="E632" s="202"/>
      <c r="F632" s="201"/>
      <c r="G632" s="204"/>
      <c r="H632" s="201"/>
    </row>
    <row r="633">
      <c r="A633" s="201"/>
      <c r="B633" s="201"/>
      <c r="C633" s="201"/>
      <c r="D633" s="201"/>
      <c r="E633" s="202"/>
      <c r="F633" s="201"/>
      <c r="G633" s="204"/>
      <c r="H633" s="201"/>
    </row>
    <row r="634">
      <c r="A634" s="201"/>
      <c r="B634" s="201"/>
      <c r="C634" s="201"/>
      <c r="D634" s="201"/>
      <c r="E634" s="202"/>
      <c r="F634" s="201"/>
      <c r="G634" s="204"/>
      <c r="H634" s="201"/>
    </row>
    <row r="635">
      <c r="A635" s="201"/>
      <c r="B635" s="201"/>
      <c r="C635" s="201"/>
      <c r="D635" s="201"/>
      <c r="E635" s="202"/>
      <c r="F635" s="201"/>
      <c r="G635" s="204"/>
      <c r="H635" s="201"/>
    </row>
    <row r="636">
      <c r="A636" s="201"/>
      <c r="B636" s="201"/>
      <c r="C636" s="201"/>
      <c r="D636" s="201"/>
      <c r="E636" s="202"/>
      <c r="F636" s="201"/>
      <c r="G636" s="204"/>
      <c r="H636" s="201"/>
    </row>
    <row r="637">
      <c r="A637" s="201"/>
      <c r="B637" s="201"/>
      <c r="C637" s="201"/>
      <c r="D637" s="201"/>
      <c r="E637" s="202"/>
      <c r="F637" s="201"/>
      <c r="G637" s="204"/>
      <c r="H637" s="201"/>
    </row>
    <row r="638">
      <c r="A638" s="201"/>
      <c r="B638" s="201"/>
      <c r="C638" s="201"/>
      <c r="D638" s="201"/>
      <c r="E638" s="202"/>
      <c r="F638" s="201"/>
      <c r="G638" s="204"/>
      <c r="H638" s="201"/>
    </row>
    <row r="639">
      <c r="A639" s="201"/>
      <c r="B639" s="201"/>
      <c r="C639" s="201"/>
      <c r="D639" s="201"/>
      <c r="E639" s="202"/>
      <c r="F639" s="201"/>
      <c r="G639" s="204"/>
      <c r="H639" s="201"/>
    </row>
    <row r="640">
      <c r="A640" s="201"/>
      <c r="B640" s="201"/>
      <c r="C640" s="201"/>
      <c r="D640" s="201"/>
      <c r="E640" s="202"/>
      <c r="F640" s="201"/>
      <c r="G640" s="204"/>
      <c r="H640" s="201"/>
    </row>
    <row r="641">
      <c r="A641" s="201"/>
      <c r="B641" s="201"/>
      <c r="C641" s="201"/>
      <c r="D641" s="201"/>
      <c r="E641" s="202"/>
      <c r="F641" s="201"/>
      <c r="G641" s="204"/>
      <c r="H641" s="201"/>
    </row>
    <row r="642">
      <c r="A642" s="201"/>
      <c r="B642" s="201"/>
      <c r="C642" s="201"/>
      <c r="D642" s="201"/>
      <c r="E642" s="202"/>
      <c r="F642" s="201"/>
      <c r="G642" s="204"/>
      <c r="H642" s="201"/>
    </row>
    <row r="643">
      <c r="A643" s="201"/>
      <c r="B643" s="201"/>
      <c r="C643" s="201"/>
      <c r="D643" s="201"/>
      <c r="E643" s="202"/>
      <c r="F643" s="201"/>
      <c r="G643" s="204"/>
      <c r="H643" s="201"/>
    </row>
    <row r="644">
      <c r="A644" s="201"/>
      <c r="B644" s="201"/>
      <c r="C644" s="201"/>
      <c r="D644" s="201"/>
      <c r="E644" s="202"/>
      <c r="F644" s="201"/>
      <c r="G644" s="204"/>
      <c r="H644" s="201"/>
    </row>
    <row r="645">
      <c r="A645" s="201"/>
      <c r="B645" s="201"/>
      <c r="C645" s="201"/>
      <c r="D645" s="201"/>
      <c r="E645" s="202"/>
      <c r="F645" s="201"/>
      <c r="G645" s="204"/>
      <c r="H645" s="201"/>
    </row>
    <row r="646">
      <c r="A646" s="201"/>
      <c r="B646" s="201"/>
      <c r="C646" s="201"/>
      <c r="D646" s="201"/>
      <c r="E646" s="202"/>
      <c r="F646" s="201"/>
      <c r="G646" s="204"/>
      <c r="H646" s="201"/>
    </row>
    <row r="647">
      <c r="A647" s="201"/>
      <c r="B647" s="201"/>
      <c r="C647" s="201"/>
      <c r="D647" s="201"/>
      <c r="E647" s="202"/>
      <c r="F647" s="201"/>
      <c r="G647" s="204"/>
      <c r="H647" s="201"/>
    </row>
    <row r="648">
      <c r="A648" s="201"/>
      <c r="B648" s="201"/>
      <c r="C648" s="201"/>
      <c r="D648" s="201"/>
      <c r="E648" s="202"/>
      <c r="F648" s="201"/>
      <c r="G648" s="204"/>
      <c r="H648" s="201"/>
    </row>
    <row r="649">
      <c r="A649" s="201"/>
      <c r="B649" s="201"/>
      <c r="C649" s="201"/>
      <c r="D649" s="201"/>
      <c r="E649" s="202"/>
      <c r="F649" s="201"/>
      <c r="G649" s="204"/>
      <c r="H649" s="201"/>
    </row>
    <row r="650">
      <c r="A650" s="201"/>
      <c r="B650" s="201"/>
      <c r="C650" s="201"/>
      <c r="D650" s="201"/>
      <c r="E650" s="202"/>
      <c r="F650" s="201"/>
      <c r="G650" s="204"/>
      <c r="H650" s="201"/>
    </row>
    <row r="651">
      <c r="A651" s="201"/>
      <c r="B651" s="201"/>
      <c r="C651" s="201"/>
      <c r="D651" s="201"/>
      <c r="E651" s="202"/>
      <c r="F651" s="201"/>
      <c r="G651" s="204"/>
      <c r="H651" s="201"/>
    </row>
    <row r="652">
      <c r="A652" s="201"/>
      <c r="B652" s="201"/>
      <c r="C652" s="201"/>
      <c r="D652" s="201"/>
      <c r="E652" s="202"/>
      <c r="F652" s="201"/>
      <c r="G652" s="204"/>
      <c r="H652" s="201"/>
    </row>
    <row r="653">
      <c r="A653" s="201"/>
      <c r="B653" s="201"/>
      <c r="C653" s="201"/>
      <c r="D653" s="201"/>
      <c r="E653" s="202"/>
      <c r="F653" s="201"/>
      <c r="G653" s="204"/>
      <c r="H653" s="201"/>
    </row>
    <row r="654">
      <c r="A654" s="201"/>
      <c r="B654" s="201"/>
      <c r="C654" s="201"/>
      <c r="D654" s="201"/>
      <c r="E654" s="202"/>
      <c r="F654" s="201"/>
      <c r="G654" s="204"/>
      <c r="H654" s="201"/>
    </row>
    <row r="655">
      <c r="A655" s="201"/>
      <c r="B655" s="201"/>
      <c r="C655" s="201"/>
      <c r="D655" s="201"/>
      <c r="E655" s="202"/>
      <c r="F655" s="201"/>
      <c r="G655" s="204"/>
      <c r="H655" s="201"/>
    </row>
    <row r="656">
      <c r="A656" s="201"/>
      <c r="B656" s="201"/>
      <c r="C656" s="201"/>
      <c r="D656" s="201"/>
      <c r="E656" s="202"/>
      <c r="F656" s="201"/>
      <c r="G656" s="204"/>
      <c r="H656" s="201"/>
    </row>
    <row r="657">
      <c r="A657" s="201"/>
      <c r="B657" s="201"/>
      <c r="C657" s="201"/>
      <c r="D657" s="201"/>
      <c r="E657" s="202"/>
      <c r="F657" s="201"/>
      <c r="G657" s="204"/>
      <c r="H657" s="201"/>
    </row>
    <row r="658">
      <c r="A658" s="201"/>
      <c r="B658" s="201"/>
      <c r="C658" s="201"/>
      <c r="D658" s="201"/>
      <c r="E658" s="202"/>
      <c r="F658" s="201"/>
      <c r="G658" s="204"/>
      <c r="H658" s="201"/>
    </row>
    <row r="659">
      <c r="A659" s="201"/>
      <c r="B659" s="201"/>
      <c r="C659" s="201"/>
      <c r="D659" s="201"/>
      <c r="E659" s="202"/>
      <c r="F659" s="201"/>
      <c r="G659" s="204"/>
      <c r="H659" s="201"/>
    </row>
    <row r="660">
      <c r="A660" s="201"/>
      <c r="B660" s="201"/>
      <c r="C660" s="201"/>
      <c r="D660" s="201"/>
      <c r="E660" s="202"/>
      <c r="F660" s="201"/>
      <c r="G660" s="204"/>
      <c r="H660" s="201"/>
    </row>
    <row r="661">
      <c r="A661" s="201"/>
      <c r="B661" s="201"/>
      <c r="C661" s="201"/>
      <c r="D661" s="201"/>
      <c r="E661" s="202"/>
      <c r="F661" s="201"/>
      <c r="G661" s="204"/>
      <c r="H661" s="201"/>
    </row>
    <row r="662">
      <c r="A662" s="201"/>
      <c r="B662" s="201"/>
      <c r="C662" s="201"/>
      <c r="D662" s="201"/>
      <c r="E662" s="202"/>
      <c r="F662" s="201"/>
      <c r="G662" s="204"/>
      <c r="H662" s="201"/>
    </row>
    <row r="663">
      <c r="A663" s="201"/>
      <c r="B663" s="201"/>
      <c r="C663" s="201"/>
      <c r="D663" s="201"/>
      <c r="E663" s="202"/>
      <c r="F663" s="201"/>
      <c r="G663" s="204"/>
      <c r="H663" s="201"/>
    </row>
    <row r="664">
      <c r="A664" s="201"/>
      <c r="B664" s="201"/>
      <c r="C664" s="201"/>
      <c r="D664" s="201"/>
      <c r="E664" s="202"/>
      <c r="F664" s="201"/>
      <c r="G664" s="204"/>
      <c r="H664" s="201"/>
    </row>
    <row r="665">
      <c r="A665" s="201"/>
      <c r="B665" s="201"/>
      <c r="C665" s="201"/>
      <c r="D665" s="201"/>
      <c r="E665" s="202"/>
      <c r="F665" s="201"/>
      <c r="G665" s="204"/>
      <c r="H665" s="201"/>
    </row>
    <row r="666">
      <c r="A666" s="201"/>
      <c r="B666" s="201"/>
      <c r="C666" s="201"/>
      <c r="D666" s="201"/>
      <c r="E666" s="202"/>
      <c r="F666" s="201"/>
      <c r="G666" s="204"/>
      <c r="H666" s="201"/>
    </row>
    <row r="667">
      <c r="A667" s="201"/>
      <c r="B667" s="201"/>
      <c r="C667" s="201"/>
      <c r="D667" s="201"/>
      <c r="E667" s="202"/>
      <c r="F667" s="201"/>
      <c r="G667" s="204"/>
      <c r="H667" s="201"/>
    </row>
    <row r="668">
      <c r="A668" s="201"/>
      <c r="B668" s="201"/>
      <c r="C668" s="201"/>
      <c r="D668" s="201"/>
      <c r="E668" s="202"/>
      <c r="F668" s="201"/>
      <c r="G668" s="204"/>
      <c r="H668" s="201"/>
    </row>
    <row r="669">
      <c r="A669" s="201"/>
      <c r="B669" s="201"/>
      <c r="C669" s="201"/>
      <c r="D669" s="201"/>
      <c r="E669" s="202"/>
      <c r="F669" s="201"/>
      <c r="G669" s="204"/>
      <c r="H669" s="201"/>
    </row>
    <row r="670">
      <c r="A670" s="201"/>
      <c r="B670" s="201"/>
      <c r="C670" s="201"/>
      <c r="D670" s="201"/>
      <c r="E670" s="202"/>
      <c r="F670" s="201"/>
      <c r="G670" s="204"/>
      <c r="H670" s="201"/>
    </row>
    <row r="671">
      <c r="A671" s="201"/>
      <c r="B671" s="201"/>
      <c r="C671" s="201"/>
      <c r="D671" s="201"/>
      <c r="E671" s="202"/>
      <c r="F671" s="201"/>
      <c r="G671" s="204"/>
      <c r="H671" s="201"/>
    </row>
    <row r="672">
      <c r="A672" s="201"/>
      <c r="B672" s="201"/>
      <c r="C672" s="201"/>
      <c r="D672" s="201"/>
      <c r="E672" s="202"/>
      <c r="F672" s="201"/>
      <c r="G672" s="204"/>
      <c r="H672" s="201"/>
    </row>
    <row r="673">
      <c r="A673" s="201"/>
      <c r="B673" s="201"/>
      <c r="C673" s="201"/>
      <c r="D673" s="201"/>
      <c r="E673" s="202"/>
      <c r="F673" s="201"/>
      <c r="G673" s="204"/>
      <c r="H673" s="201"/>
    </row>
    <row r="674">
      <c r="A674" s="201"/>
      <c r="B674" s="201"/>
      <c r="C674" s="201"/>
      <c r="D674" s="201"/>
      <c r="E674" s="202"/>
      <c r="F674" s="201"/>
      <c r="G674" s="204"/>
      <c r="H674" s="201"/>
    </row>
    <row r="675">
      <c r="A675" s="201"/>
      <c r="B675" s="201"/>
      <c r="C675" s="201"/>
      <c r="D675" s="201"/>
      <c r="E675" s="202"/>
      <c r="F675" s="201"/>
      <c r="G675" s="204"/>
      <c r="H675" s="201"/>
    </row>
    <row r="676">
      <c r="A676" s="201"/>
      <c r="B676" s="201"/>
      <c r="C676" s="201"/>
      <c r="D676" s="201"/>
      <c r="E676" s="202"/>
      <c r="F676" s="201"/>
      <c r="G676" s="204"/>
      <c r="H676" s="201"/>
    </row>
    <row r="677">
      <c r="A677" s="201"/>
      <c r="B677" s="201"/>
      <c r="C677" s="201"/>
      <c r="D677" s="201"/>
      <c r="E677" s="202"/>
      <c r="F677" s="201"/>
      <c r="G677" s="204"/>
      <c r="H677" s="201"/>
    </row>
    <row r="678">
      <c r="A678" s="201"/>
      <c r="B678" s="201"/>
      <c r="C678" s="201"/>
      <c r="D678" s="201"/>
      <c r="E678" s="202"/>
      <c r="F678" s="201"/>
      <c r="G678" s="204"/>
      <c r="H678" s="201"/>
    </row>
    <row r="679">
      <c r="A679" s="201"/>
      <c r="B679" s="201"/>
      <c r="C679" s="201"/>
      <c r="D679" s="201"/>
      <c r="E679" s="202"/>
      <c r="F679" s="201"/>
      <c r="G679" s="204"/>
      <c r="H679" s="201"/>
    </row>
    <row r="680">
      <c r="A680" s="201"/>
      <c r="B680" s="201"/>
      <c r="C680" s="201"/>
      <c r="D680" s="201"/>
      <c r="E680" s="202"/>
      <c r="F680" s="201"/>
      <c r="G680" s="204"/>
      <c r="H680" s="201"/>
    </row>
    <row r="681">
      <c r="A681" s="201"/>
      <c r="B681" s="201"/>
      <c r="C681" s="201"/>
      <c r="D681" s="201"/>
      <c r="E681" s="202"/>
      <c r="F681" s="201"/>
      <c r="G681" s="204"/>
      <c r="H681" s="201"/>
    </row>
    <row r="682">
      <c r="A682" s="201"/>
      <c r="B682" s="201"/>
      <c r="C682" s="201"/>
      <c r="D682" s="201"/>
      <c r="E682" s="202"/>
      <c r="F682" s="201"/>
      <c r="G682" s="204"/>
      <c r="H682" s="201"/>
    </row>
    <row r="683">
      <c r="A683" s="201"/>
      <c r="B683" s="201"/>
      <c r="C683" s="201"/>
      <c r="D683" s="201"/>
      <c r="E683" s="202"/>
      <c r="F683" s="201"/>
      <c r="G683" s="204"/>
      <c r="H683" s="201"/>
    </row>
    <row r="684">
      <c r="A684" s="201"/>
      <c r="B684" s="201"/>
      <c r="C684" s="201"/>
      <c r="D684" s="201"/>
      <c r="E684" s="202"/>
      <c r="F684" s="201"/>
      <c r="G684" s="204"/>
      <c r="H684" s="201"/>
    </row>
    <row r="685">
      <c r="A685" s="201"/>
      <c r="B685" s="201"/>
      <c r="C685" s="201"/>
      <c r="D685" s="201"/>
      <c r="E685" s="202"/>
      <c r="F685" s="201"/>
      <c r="G685" s="204"/>
      <c r="H685" s="201"/>
    </row>
    <row r="686">
      <c r="A686" s="201"/>
      <c r="B686" s="201"/>
      <c r="C686" s="201"/>
      <c r="D686" s="201"/>
      <c r="E686" s="202"/>
      <c r="F686" s="201"/>
      <c r="G686" s="204"/>
      <c r="H686" s="201"/>
    </row>
    <row r="687">
      <c r="A687" s="201"/>
      <c r="B687" s="201"/>
      <c r="C687" s="201"/>
      <c r="D687" s="201"/>
      <c r="E687" s="202"/>
      <c r="F687" s="201"/>
      <c r="G687" s="204"/>
      <c r="H687" s="201"/>
    </row>
    <row r="688">
      <c r="A688" s="201"/>
      <c r="B688" s="201"/>
      <c r="C688" s="201"/>
      <c r="D688" s="201"/>
      <c r="E688" s="202"/>
      <c r="F688" s="201"/>
      <c r="G688" s="204"/>
      <c r="H688" s="201"/>
    </row>
    <row r="689">
      <c r="A689" s="201"/>
      <c r="B689" s="201"/>
      <c r="C689" s="201"/>
      <c r="D689" s="201"/>
      <c r="E689" s="202"/>
      <c r="F689" s="201"/>
      <c r="G689" s="204"/>
      <c r="H689" s="201"/>
    </row>
    <row r="690">
      <c r="A690" s="201"/>
      <c r="B690" s="201"/>
      <c r="C690" s="201"/>
      <c r="D690" s="201"/>
      <c r="E690" s="202"/>
      <c r="F690" s="201"/>
      <c r="G690" s="204"/>
      <c r="H690" s="201"/>
    </row>
    <row r="691">
      <c r="A691" s="201"/>
      <c r="B691" s="201"/>
      <c r="C691" s="201"/>
      <c r="D691" s="201"/>
      <c r="E691" s="202"/>
      <c r="F691" s="201"/>
      <c r="G691" s="204"/>
      <c r="H691" s="201"/>
    </row>
    <row r="692">
      <c r="A692" s="201"/>
      <c r="B692" s="201"/>
      <c r="C692" s="201"/>
      <c r="D692" s="201"/>
      <c r="E692" s="202"/>
      <c r="F692" s="201"/>
      <c r="G692" s="204"/>
      <c r="H692" s="201"/>
    </row>
    <row r="693">
      <c r="A693" s="201"/>
      <c r="B693" s="201"/>
      <c r="C693" s="201"/>
      <c r="D693" s="201"/>
      <c r="E693" s="202"/>
      <c r="F693" s="201"/>
      <c r="G693" s="204"/>
      <c r="H693" s="201"/>
    </row>
    <row r="694">
      <c r="A694" s="201"/>
      <c r="B694" s="201"/>
      <c r="C694" s="201"/>
      <c r="D694" s="201"/>
      <c r="E694" s="202"/>
      <c r="F694" s="201"/>
      <c r="G694" s="204"/>
      <c r="H694" s="201"/>
    </row>
    <row r="695">
      <c r="A695" s="201"/>
      <c r="B695" s="201"/>
      <c r="C695" s="201"/>
      <c r="D695" s="201"/>
      <c r="E695" s="202"/>
      <c r="F695" s="201"/>
      <c r="G695" s="204"/>
      <c r="H695" s="201"/>
    </row>
    <row r="696">
      <c r="A696" s="201"/>
      <c r="B696" s="201"/>
      <c r="C696" s="201"/>
      <c r="D696" s="201"/>
      <c r="E696" s="202"/>
      <c r="F696" s="201"/>
      <c r="G696" s="204"/>
      <c r="H696" s="201"/>
    </row>
    <row r="697">
      <c r="A697" s="201"/>
      <c r="B697" s="201"/>
      <c r="C697" s="201"/>
      <c r="D697" s="201"/>
      <c r="E697" s="202"/>
      <c r="F697" s="201"/>
      <c r="G697" s="204"/>
      <c r="H697" s="201"/>
    </row>
    <row r="698">
      <c r="A698" s="201"/>
      <c r="B698" s="201"/>
      <c r="C698" s="201"/>
      <c r="D698" s="201"/>
      <c r="E698" s="202"/>
      <c r="F698" s="201"/>
      <c r="G698" s="204"/>
      <c r="H698" s="201"/>
    </row>
    <row r="699">
      <c r="A699" s="201"/>
      <c r="B699" s="201"/>
      <c r="C699" s="201"/>
      <c r="D699" s="201"/>
      <c r="E699" s="202"/>
      <c r="F699" s="201"/>
      <c r="G699" s="204"/>
      <c r="H699" s="201"/>
    </row>
    <row r="700">
      <c r="A700" s="201"/>
      <c r="B700" s="201"/>
      <c r="C700" s="201"/>
      <c r="D700" s="201"/>
      <c r="E700" s="202"/>
      <c r="F700" s="201"/>
      <c r="G700" s="204"/>
      <c r="H700" s="201"/>
    </row>
    <row r="701">
      <c r="A701" s="201"/>
      <c r="B701" s="201"/>
      <c r="C701" s="201"/>
      <c r="D701" s="201"/>
      <c r="E701" s="202"/>
      <c r="F701" s="201"/>
      <c r="G701" s="204"/>
      <c r="H701" s="201"/>
    </row>
    <row r="702">
      <c r="A702" s="201"/>
      <c r="B702" s="201"/>
      <c r="C702" s="201"/>
      <c r="D702" s="201"/>
      <c r="E702" s="202"/>
      <c r="F702" s="201"/>
      <c r="G702" s="204"/>
      <c r="H702" s="201"/>
    </row>
    <row r="703">
      <c r="A703" s="201"/>
      <c r="B703" s="201"/>
      <c r="C703" s="201"/>
      <c r="D703" s="201"/>
      <c r="E703" s="202"/>
      <c r="F703" s="201"/>
      <c r="G703" s="204"/>
      <c r="H703" s="201"/>
    </row>
    <row r="704">
      <c r="A704" s="201"/>
      <c r="B704" s="201"/>
      <c r="C704" s="201"/>
      <c r="D704" s="201"/>
      <c r="E704" s="202"/>
      <c r="F704" s="201"/>
      <c r="G704" s="204"/>
      <c r="H704" s="201"/>
    </row>
    <row r="705">
      <c r="A705" s="201"/>
      <c r="B705" s="201"/>
      <c r="C705" s="201"/>
      <c r="D705" s="201"/>
      <c r="E705" s="202"/>
      <c r="F705" s="201"/>
      <c r="G705" s="204"/>
      <c r="H705" s="201"/>
    </row>
    <row r="706">
      <c r="A706" s="201"/>
      <c r="B706" s="201"/>
      <c r="C706" s="201"/>
      <c r="D706" s="201"/>
      <c r="E706" s="202"/>
      <c r="F706" s="201"/>
      <c r="G706" s="204"/>
      <c r="H706" s="201"/>
    </row>
    <row r="707">
      <c r="A707" s="201"/>
      <c r="B707" s="201"/>
      <c r="C707" s="201"/>
      <c r="D707" s="201"/>
      <c r="E707" s="202"/>
      <c r="F707" s="201"/>
      <c r="G707" s="204"/>
      <c r="H707" s="201"/>
    </row>
    <row r="708">
      <c r="A708" s="201"/>
      <c r="B708" s="201"/>
      <c r="C708" s="201"/>
      <c r="D708" s="201"/>
      <c r="E708" s="202"/>
      <c r="F708" s="201"/>
      <c r="G708" s="204"/>
      <c r="H708" s="201"/>
    </row>
    <row r="709">
      <c r="A709" s="201"/>
      <c r="B709" s="201"/>
      <c r="C709" s="201"/>
      <c r="D709" s="201"/>
      <c r="E709" s="202"/>
      <c r="F709" s="201"/>
      <c r="G709" s="204"/>
      <c r="H709" s="201"/>
    </row>
    <row r="710">
      <c r="A710" s="201"/>
      <c r="B710" s="201"/>
      <c r="C710" s="201"/>
      <c r="D710" s="201"/>
      <c r="E710" s="202"/>
      <c r="F710" s="201"/>
      <c r="G710" s="204"/>
      <c r="H710" s="201"/>
    </row>
    <row r="711">
      <c r="A711" s="201"/>
      <c r="B711" s="201"/>
      <c r="C711" s="201"/>
      <c r="D711" s="201"/>
      <c r="E711" s="202"/>
      <c r="F711" s="201"/>
      <c r="G711" s="204"/>
      <c r="H711" s="201"/>
    </row>
    <row r="712">
      <c r="A712" s="201"/>
      <c r="B712" s="201"/>
      <c r="C712" s="201"/>
      <c r="D712" s="201"/>
      <c r="E712" s="202"/>
      <c r="F712" s="201"/>
      <c r="G712" s="204"/>
      <c r="H712" s="201"/>
    </row>
    <row r="713">
      <c r="A713" s="201"/>
      <c r="B713" s="201"/>
      <c r="C713" s="201"/>
      <c r="D713" s="201"/>
      <c r="E713" s="202"/>
      <c r="F713" s="201"/>
      <c r="G713" s="204"/>
      <c r="H713" s="201"/>
    </row>
    <row r="714">
      <c r="A714" s="201"/>
      <c r="B714" s="201"/>
      <c r="C714" s="201"/>
      <c r="D714" s="201"/>
      <c r="E714" s="202"/>
      <c r="F714" s="201"/>
      <c r="G714" s="204"/>
      <c r="H714" s="201"/>
    </row>
    <row r="715">
      <c r="A715" s="201"/>
      <c r="B715" s="201"/>
      <c r="C715" s="201"/>
      <c r="D715" s="201"/>
      <c r="E715" s="202"/>
      <c r="F715" s="201"/>
      <c r="G715" s="204"/>
      <c r="H715" s="201"/>
    </row>
    <row r="716">
      <c r="A716" s="201"/>
      <c r="B716" s="201"/>
      <c r="C716" s="201"/>
      <c r="D716" s="201"/>
      <c r="E716" s="202"/>
      <c r="F716" s="201"/>
      <c r="G716" s="204"/>
      <c r="H716" s="201"/>
    </row>
    <row r="717">
      <c r="A717" s="201"/>
      <c r="B717" s="201"/>
      <c r="C717" s="201"/>
      <c r="D717" s="201"/>
      <c r="E717" s="202"/>
      <c r="F717" s="201"/>
      <c r="G717" s="204"/>
      <c r="H717" s="201"/>
    </row>
    <row r="718">
      <c r="A718" s="201"/>
      <c r="B718" s="201"/>
      <c r="C718" s="201"/>
      <c r="D718" s="201"/>
      <c r="E718" s="202"/>
      <c r="F718" s="201"/>
      <c r="G718" s="204"/>
      <c r="H718" s="201"/>
    </row>
    <row r="719">
      <c r="A719" s="201"/>
      <c r="B719" s="201"/>
      <c r="C719" s="201"/>
      <c r="D719" s="201"/>
      <c r="E719" s="202"/>
      <c r="F719" s="201"/>
      <c r="G719" s="204"/>
      <c r="H719" s="201"/>
    </row>
    <row r="720">
      <c r="A720" s="201"/>
      <c r="B720" s="201"/>
      <c r="C720" s="201"/>
      <c r="D720" s="201"/>
      <c r="E720" s="202"/>
      <c r="F720" s="201"/>
      <c r="G720" s="204"/>
      <c r="H720" s="201"/>
    </row>
    <row r="721">
      <c r="A721" s="201"/>
      <c r="B721" s="201"/>
      <c r="C721" s="201"/>
      <c r="D721" s="201"/>
      <c r="E721" s="202"/>
      <c r="F721" s="201"/>
      <c r="G721" s="204"/>
      <c r="H721" s="201"/>
    </row>
    <row r="722">
      <c r="A722" s="201"/>
      <c r="B722" s="201"/>
      <c r="C722" s="201"/>
      <c r="D722" s="201"/>
      <c r="E722" s="202"/>
      <c r="F722" s="201"/>
      <c r="G722" s="204"/>
      <c r="H722" s="201"/>
    </row>
    <row r="723">
      <c r="A723" s="201"/>
      <c r="B723" s="201"/>
      <c r="C723" s="201"/>
      <c r="D723" s="201"/>
      <c r="E723" s="202"/>
      <c r="F723" s="201"/>
      <c r="G723" s="204"/>
      <c r="H723" s="201"/>
    </row>
    <row r="724">
      <c r="A724" s="201"/>
      <c r="B724" s="201"/>
      <c r="C724" s="201"/>
      <c r="D724" s="201"/>
      <c r="E724" s="202"/>
      <c r="F724" s="201"/>
      <c r="G724" s="204"/>
      <c r="H724" s="201"/>
    </row>
    <row r="725">
      <c r="A725" s="201"/>
      <c r="B725" s="201"/>
      <c r="C725" s="201"/>
      <c r="D725" s="201"/>
      <c r="E725" s="202"/>
      <c r="F725" s="201"/>
      <c r="G725" s="204"/>
      <c r="H725" s="201"/>
    </row>
    <row r="726">
      <c r="A726" s="201"/>
      <c r="B726" s="201"/>
      <c r="C726" s="201"/>
      <c r="D726" s="201"/>
      <c r="E726" s="202"/>
      <c r="F726" s="201"/>
      <c r="G726" s="204"/>
      <c r="H726" s="201"/>
    </row>
    <row r="727">
      <c r="A727" s="201"/>
      <c r="B727" s="201"/>
      <c r="C727" s="201"/>
      <c r="D727" s="201"/>
      <c r="E727" s="202"/>
      <c r="F727" s="201"/>
      <c r="G727" s="204"/>
      <c r="H727" s="201"/>
    </row>
    <row r="728">
      <c r="A728" s="201"/>
      <c r="B728" s="201"/>
      <c r="C728" s="201"/>
      <c r="D728" s="201"/>
      <c r="E728" s="202"/>
      <c r="F728" s="201"/>
      <c r="G728" s="204"/>
      <c r="H728" s="201"/>
    </row>
    <row r="729">
      <c r="A729" s="201"/>
      <c r="B729" s="201"/>
      <c r="C729" s="201"/>
      <c r="D729" s="201"/>
      <c r="E729" s="202"/>
      <c r="F729" s="201"/>
      <c r="G729" s="204"/>
      <c r="H729" s="201"/>
    </row>
    <row r="730">
      <c r="A730" s="201"/>
      <c r="B730" s="201"/>
      <c r="C730" s="201"/>
      <c r="D730" s="201"/>
      <c r="E730" s="202"/>
      <c r="F730" s="201"/>
      <c r="G730" s="204"/>
      <c r="H730" s="201"/>
    </row>
    <row r="731">
      <c r="A731" s="201"/>
      <c r="B731" s="201"/>
      <c r="C731" s="201"/>
      <c r="D731" s="201"/>
      <c r="E731" s="202"/>
      <c r="F731" s="201"/>
      <c r="G731" s="204"/>
      <c r="H731" s="201"/>
    </row>
    <row r="732">
      <c r="A732" s="201"/>
      <c r="B732" s="201"/>
      <c r="C732" s="201"/>
      <c r="D732" s="201"/>
      <c r="E732" s="202"/>
      <c r="F732" s="201"/>
      <c r="G732" s="204"/>
      <c r="H732" s="201"/>
    </row>
    <row r="733">
      <c r="A733" s="201"/>
      <c r="B733" s="201"/>
      <c r="C733" s="201"/>
      <c r="D733" s="201"/>
      <c r="E733" s="202"/>
      <c r="F733" s="201"/>
      <c r="G733" s="204"/>
      <c r="H733" s="201"/>
    </row>
    <row r="734">
      <c r="A734" s="201"/>
      <c r="B734" s="201"/>
      <c r="C734" s="201"/>
      <c r="D734" s="201"/>
      <c r="E734" s="202"/>
      <c r="F734" s="201"/>
      <c r="G734" s="204"/>
      <c r="H734" s="201"/>
    </row>
    <row r="735">
      <c r="A735" s="201"/>
      <c r="B735" s="201"/>
      <c r="C735" s="201"/>
      <c r="D735" s="201"/>
      <c r="E735" s="202"/>
      <c r="F735" s="201"/>
      <c r="G735" s="204"/>
      <c r="H735" s="201"/>
    </row>
    <row r="736">
      <c r="A736" s="201"/>
      <c r="B736" s="201"/>
      <c r="C736" s="201"/>
      <c r="D736" s="201"/>
      <c r="E736" s="202"/>
      <c r="F736" s="201"/>
      <c r="G736" s="204"/>
      <c r="H736" s="201"/>
    </row>
    <row r="737">
      <c r="A737" s="201"/>
      <c r="B737" s="201"/>
      <c r="C737" s="201"/>
      <c r="D737" s="201"/>
      <c r="E737" s="202"/>
      <c r="F737" s="201"/>
      <c r="G737" s="204"/>
      <c r="H737" s="201"/>
    </row>
    <row r="738">
      <c r="A738" s="201"/>
      <c r="B738" s="201"/>
      <c r="C738" s="201"/>
      <c r="D738" s="201"/>
      <c r="E738" s="202"/>
      <c r="F738" s="201"/>
      <c r="G738" s="204"/>
      <c r="H738" s="201"/>
    </row>
    <row r="739">
      <c r="A739" s="201"/>
      <c r="B739" s="201"/>
      <c r="C739" s="201"/>
      <c r="D739" s="201"/>
      <c r="E739" s="202"/>
      <c r="F739" s="201"/>
      <c r="G739" s="204"/>
      <c r="H739" s="201"/>
    </row>
    <row r="740">
      <c r="A740" s="201"/>
      <c r="B740" s="201"/>
      <c r="C740" s="201"/>
      <c r="D740" s="201"/>
      <c r="E740" s="202"/>
      <c r="F740" s="201"/>
      <c r="G740" s="204"/>
      <c r="H740" s="201"/>
    </row>
    <row r="741">
      <c r="A741" s="201"/>
      <c r="B741" s="201"/>
      <c r="C741" s="201"/>
      <c r="D741" s="201"/>
      <c r="E741" s="202"/>
      <c r="F741" s="201"/>
      <c r="G741" s="204"/>
      <c r="H741" s="201"/>
    </row>
    <row r="742">
      <c r="A742" s="201"/>
      <c r="B742" s="201"/>
      <c r="C742" s="201"/>
      <c r="D742" s="201"/>
      <c r="E742" s="202"/>
      <c r="F742" s="201"/>
      <c r="G742" s="204"/>
      <c r="H742" s="201"/>
    </row>
    <row r="743">
      <c r="A743" s="201"/>
      <c r="B743" s="201"/>
      <c r="C743" s="201"/>
      <c r="D743" s="201"/>
      <c r="E743" s="202"/>
      <c r="F743" s="201"/>
      <c r="G743" s="204"/>
      <c r="H743" s="201"/>
    </row>
    <row r="744">
      <c r="A744" s="201"/>
      <c r="B744" s="201"/>
      <c r="C744" s="201"/>
      <c r="D744" s="201"/>
      <c r="E744" s="202"/>
      <c r="F744" s="201"/>
      <c r="G744" s="204"/>
      <c r="H744" s="201"/>
    </row>
    <row r="745">
      <c r="A745" s="201"/>
      <c r="B745" s="201"/>
      <c r="C745" s="201"/>
      <c r="D745" s="201"/>
      <c r="E745" s="202"/>
      <c r="F745" s="201"/>
      <c r="G745" s="204"/>
      <c r="H745" s="201"/>
    </row>
    <row r="746">
      <c r="A746" s="201"/>
      <c r="B746" s="201"/>
      <c r="C746" s="201"/>
      <c r="D746" s="201"/>
      <c r="E746" s="202"/>
      <c r="F746" s="201"/>
      <c r="G746" s="204"/>
      <c r="H746" s="201"/>
    </row>
    <row r="747">
      <c r="A747" s="201"/>
      <c r="B747" s="201"/>
      <c r="C747" s="201"/>
      <c r="D747" s="201"/>
      <c r="E747" s="202"/>
      <c r="F747" s="201"/>
      <c r="G747" s="204"/>
      <c r="H747" s="201"/>
    </row>
    <row r="748">
      <c r="A748" s="201"/>
      <c r="B748" s="201"/>
      <c r="C748" s="201"/>
      <c r="D748" s="201"/>
      <c r="E748" s="202"/>
      <c r="F748" s="201"/>
      <c r="G748" s="204"/>
      <c r="H748" s="201"/>
    </row>
    <row r="749">
      <c r="A749" s="201"/>
      <c r="B749" s="201"/>
      <c r="C749" s="201"/>
      <c r="D749" s="201"/>
      <c r="E749" s="202"/>
      <c r="F749" s="201"/>
      <c r="G749" s="204"/>
      <c r="H749" s="201"/>
    </row>
    <row r="750">
      <c r="A750" s="201"/>
      <c r="B750" s="201"/>
      <c r="C750" s="201"/>
      <c r="D750" s="201"/>
      <c r="E750" s="202"/>
      <c r="F750" s="201"/>
      <c r="G750" s="204"/>
      <c r="H750" s="201"/>
    </row>
    <row r="751">
      <c r="A751" s="201"/>
      <c r="B751" s="201"/>
      <c r="C751" s="201"/>
      <c r="D751" s="201"/>
      <c r="E751" s="202"/>
      <c r="F751" s="201"/>
      <c r="G751" s="204"/>
      <c r="H751" s="201"/>
    </row>
    <row r="752">
      <c r="A752" s="201"/>
      <c r="B752" s="201"/>
      <c r="C752" s="201"/>
      <c r="D752" s="201"/>
      <c r="E752" s="202"/>
      <c r="F752" s="201"/>
      <c r="G752" s="204"/>
      <c r="H752" s="201"/>
    </row>
    <row r="753">
      <c r="A753" s="201"/>
      <c r="B753" s="201"/>
      <c r="C753" s="201"/>
      <c r="D753" s="201"/>
      <c r="E753" s="202"/>
      <c r="F753" s="201"/>
      <c r="G753" s="204"/>
      <c r="H753" s="201"/>
    </row>
    <row r="754">
      <c r="A754" s="201"/>
      <c r="B754" s="201"/>
      <c r="C754" s="201"/>
      <c r="D754" s="201"/>
      <c r="E754" s="202"/>
      <c r="F754" s="201"/>
      <c r="G754" s="204"/>
      <c r="H754" s="201"/>
    </row>
    <row r="755">
      <c r="A755" s="201"/>
      <c r="B755" s="201"/>
      <c r="C755" s="201"/>
      <c r="D755" s="201"/>
      <c r="E755" s="202"/>
      <c r="F755" s="201"/>
      <c r="G755" s="204"/>
      <c r="H755" s="201"/>
    </row>
    <row r="756">
      <c r="A756" s="201"/>
      <c r="B756" s="201"/>
      <c r="C756" s="201"/>
      <c r="D756" s="201"/>
      <c r="E756" s="202"/>
      <c r="F756" s="201"/>
      <c r="G756" s="204"/>
      <c r="H756" s="201"/>
    </row>
    <row r="757">
      <c r="A757" s="201"/>
      <c r="B757" s="201"/>
      <c r="C757" s="201"/>
      <c r="D757" s="201"/>
      <c r="E757" s="202"/>
      <c r="F757" s="201"/>
      <c r="G757" s="204"/>
      <c r="H757" s="201"/>
    </row>
    <row r="758">
      <c r="A758" s="201"/>
      <c r="B758" s="201"/>
      <c r="C758" s="201"/>
      <c r="D758" s="201"/>
      <c r="E758" s="202"/>
      <c r="F758" s="201"/>
      <c r="G758" s="204"/>
      <c r="H758" s="201"/>
    </row>
    <row r="759">
      <c r="A759" s="201"/>
      <c r="B759" s="201"/>
      <c r="C759" s="201"/>
      <c r="D759" s="201"/>
      <c r="E759" s="202"/>
      <c r="F759" s="201"/>
      <c r="G759" s="204"/>
      <c r="H759" s="201"/>
    </row>
    <row r="760">
      <c r="A760" s="201"/>
      <c r="B760" s="201"/>
      <c r="C760" s="201"/>
      <c r="D760" s="201"/>
      <c r="E760" s="202"/>
      <c r="F760" s="201"/>
      <c r="G760" s="204"/>
      <c r="H760" s="201"/>
    </row>
    <row r="761">
      <c r="A761" s="201"/>
      <c r="B761" s="201"/>
      <c r="C761" s="201"/>
      <c r="D761" s="201"/>
      <c r="E761" s="202"/>
      <c r="F761" s="201"/>
      <c r="G761" s="204"/>
      <c r="H761" s="201"/>
    </row>
    <row r="762">
      <c r="A762" s="201"/>
      <c r="B762" s="201"/>
      <c r="C762" s="201"/>
      <c r="D762" s="201"/>
      <c r="E762" s="202"/>
      <c r="F762" s="201"/>
      <c r="G762" s="204"/>
      <c r="H762" s="201"/>
    </row>
    <row r="763">
      <c r="A763" s="201"/>
      <c r="B763" s="201"/>
      <c r="C763" s="201"/>
      <c r="D763" s="201"/>
      <c r="E763" s="202"/>
      <c r="F763" s="201"/>
      <c r="G763" s="204"/>
      <c r="H763" s="201"/>
    </row>
    <row r="764">
      <c r="A764" s="201"/>
      <c r="B764" s="201"/>
      <c r="C764" s="201"/>
      <c r="D764" s="201"/>
      <c r="E764" s="202"/>
      <c r="F764" s="201"/>
      <c r="G764" s="204"/>
      <c r="H764" s="201"/>
    </row>
    <row r="765">
      <c r="A765" s="201"/>
      <c r="B765" s="201"/>
      <c r="C765" s="201"/>
      <c r="D765" s="201"/>
      <c r="E765" s="202"/>
      <c r="F765" s="201"/>
      <c r="G765" s="204"/>
      <c r="H765" s="201"/>
    </row>
    <row r="766">
      <c r="A766" s="201"/>
      <c r="B766" s="201"/>
      <c r="C766" s="201"/>
      <c r="D766" s="201"/>
      <c r="E766" s="202"/>
      <c r="F766" s="201"/>
      <c r="G766" s="204"/>
      <c r="H766" s="201"/>
    </row>
    <row r="767">
      <c r="A767" s="201"/>
      <c r="B767" s="201"/>
      <c r="C767" s="201"/>
      <c r="D767" s="201"/>
      <c r="E767" s="202"/>
      <c r="F767" s="201"/>
      <c r="G767" s="204"/>
      <c r="H767" s="201"/>
    </row>
    <row r="768">
      <c r="A768" s="201"/>
      <c r="B768" s="201"/>
      <c r="C768" s="201"/>
      <c r="D768" s="201"/>
      <c r="E768" s="202"/>
      <c r="F768" s="201"/>
      <c r="G768" s="204"/>
      <c r="H768" s="201"/>
    </row>
    <row r="769">
      <c r="A769" s="201"/>
      <c r="B769" s="201"/>
      <c r="C769" s="201"/>
      <c r="D769" s="201"/>
      <c r="E769" s="202"/>
      <c r="F769" s="201"/>
      <c r="G769" s="204"/>
      <c r="H769" s="201"/>
    </row>
    <row r="770">
      <c r="A770" s="201"/>
      <c r="B770" s="201"/>
      <c r="C770" s="201"/>
      <c r="D770" s="201"/>
      <c r="E770" s="202"/>
      <c r="F770" s="201"/>
      <c r="G770" s="204"/>
      <c r="H770" s="201"/>
    </row>
    <row r="771">
      <c r="A771" s="201"/>
      <c r="B771" s="201"/>
      <c r="C771" s="201"/>
      <c r="D771" s="201"/>
      <c r="E771" s="202"/>
      <c r="F771" s="201"/>
      <c r="G771" s="204"/>
      <c r="H771" s="201"/>
    </row>
    <row r="772">
      <c r="A772" s="201"/>
      <c r="B772" s="201"/>
      <c r="C772" s="201"/>
      <c r="D772" s="201"/>
      <c r="E772" s="202"/>
      <c r="F772" s="201"/>
      <c r="G772" s="204"/>
      <c r="H772" s="201"/>
    </row>
    <row r="773">
      <c r="A773" s="201"/>
      <c r="B773" s="201"/>
      <c r="C773" s="201"/>
      <c r="D773" s="201"/>
      <c r="E773" s="202"/>
      <c r="F773" s="201"/>
      <c r="G773" s="204"/>
      <c r="H773" s="201"/>
    </row>
    <row r="774">
      <c r="A774" s="201"/>
      <c r="B774" s="201"/>
      <c r="C774" s="201"/>
      <c r="D774" s="201"/>
      <c r="E774" s="202"/>
      <c r="F774" s="201"/>
      <c r="G774" s="204"/>
      <c r="H774" s="201"/>
    </row>
    <row r="775">
      <c r="A775" s="201"/>
      <c r="B775" s="201"/>
      <c r="C775" s="201"/>
      <c r="D775" s="201"/>
      <c r="E775" s="202"/>
      <c r="F775" s="201"/>
      <c r="G775" s="204"/>
      <c r="H775" s="201"/>
    </row>
    <row r="776">
      <c r="A776" s="201"/>
      <c r="B776" s="201"/>
      <c r="C776" s="201"/>
      <c r="D776" s="201"/>
      <c r="E776" s="202"/>
      <c r="F776" s="201"/>
      <c r="G776" s="204"/>
      <c r="H776" s="201"/>
    </row>
    <row r="777">
      <c r="A777" s="201"/>
      <c r="B777" s="201"/>
      <c r="C777" s="201"/>
      <c r="D777" s="201"/>
      <c r="E777" s="202"/>
      <c r="F777" s="201"/>
      <c r="G777" s="204"/>
      <c r="H777" s="201"/>
    </row>
    <row r="778">
      <c r="A778" s="201"/>
      <c r="B778" s="201"/>
      <c r="C778" s="201"/>
      <c r="D778" s="201"/>
      <c r="E778" s="202"/>
      <c r="F778" s="201"/>
      <c r="G778" s="204"/>
      <c r="H778" s="201"/>
    </row>
    <row r="779">
      <c r="A779" s="201"/>
      <c r="B779" s="201"/>
      <c r="C779" s="201"/>
      <c r="D779" s="201"/>
      <c r="E779" s="202"/>
      <c r="F779" s="201"/>
      <c r="G779" s="204"/>
      <c r="H779" s="201"/>
    </row>
    <row r="780">
      <c r="A780" s="201"/>
      <c r="B780" s="201"/>
      <c r="C780" s="201"/>
      <c r="D780" s="201"/>
      <c r="E780" s="202"/>
      <c r="F780" s="201"/>
      <c r="G780" s="204"/>
      <c r="H780" s="201"/>
    </row>
    <row r="781">
      <c r="A781" s="201"/>
      <c r="B781" s="201"/>
      <c r="C781" s="201"/>
      <c r="D781" s="201"/>
      <c r="E781" s="202"/>
      <c r="F781" s="201"/>
      <c r="G781" s="204"/>
      <c r="H781" s="201"/>
    </row>
    <row r="782">
      <c r="A782" s="201"/>
      <c r="B782" s="201"/>
      <c r="C782" s="201"/>
      <c r="D782" s="201"/>
      <c r="E782" s="202"/>
      <c r="F782" s="201"/>
      <c r="G782" s="204"/>
      <c r="H782" s="201"/>
    </row>
    <row r="783">
      <c r="A783" s="201"/>
      <c r="B783" s="201"/>
      <c r="C783" s="201"/>
      <c r="D783" s="201"/>
      <c r="E783" s="202"/>
      <c r="F783" s="201"/>
      <c r="G783" s="204"/>
      <c r="H783" s="201"/>
    </row>
    <row r="784">
      <c r="A784" s="201"/>
      <c r="B784" s="201"/>
      <c r="C784" s="201"/>
      <c r="D784" s="201"/>
      <c r="E784" s="202"/>
      <c r="F784" s="201"/>
      <c r="G784" s="204"/>
      <c r="H784" s="201"/>
    </row>
    <row r="785">
      <c r="A785" s="201"/>
      <c r="B785" s="201"/>
      <c r="C785" s="201"/>
      <c r="D785" s="201"/>
      <c r="E785" s="202"/>
      <c r="F785" s="201"/>
      <c r="G785" s="204"/>
      <c r="H785" s="201"/>
    </row>
    <row r="786">
      <c r="A786" s="201"/>
      <c r="B786" s="201"/>
      <c r="C786" s="201"/>
      <c r="D786" s="201"/>
      <c r="E786" s="202"/>
      <c r="F786" s="201"/>
      <c r="G786" s="204"/>
      <c r="H786" s="201"/>
    </row>
    <row r="787">
      <c r="A787" s="201"/>
      <c r="B787" s="201"/>
      <c r="C787" s="201"/>
      <c r="D787" s="201"/>
      <c r="E787" s="202"/>
      <c r="F787" s="201"/>
      <c r="G787" s="204"/>
      <c r="H787" s="201"/>
    </row>
    <row r="788">
      <c r="A788" s="201"/>
      <c r="B788" s="201"/>
      <c r="C788" s="201"/>
      <c r="D788" s="201"/>
      <c r="E788" s="202"/>
      <c r="F788" s="201"/>
      <c r="G788" s="204"/>
      <c r="H788" s="201"/>
    </row>
    <row r="789">
      <c r="A789" s="201"/>
      <c r="B789" s="201"/>
      <c r="C789" s="201"/>
      <c r="D789" s="201"/>
      <c r="E789" s="202"/>
      <c r="F789" s="201"/>
      <c r="G789" s="204"/>
      <c r="H789" s="201"/>
    </row>
    <row r="790">
      <c r="A790" s="201"/>
      <c r="B790" s="201"/>
      <c r="C790" s="201"/>
      <c r="D790" s="201"/>
      <c r="E790" s="202"/>
      <c r="F790" s="201"/>
      <c r="G790" s="204"/>
      <c r="H790" s="201"/>
    </row>
    <row r="791">
      <c r="A791" s="201"/>
      <c r="B791" s="201"/>
      <c r="C791" s="201"/>
      <c r="D791" s="201"/>
      <c r="E791" s="202"/>
      <c r="F791" s="201"/>
      <c r="G791" s="204"/>
      <c r="H791" s="201"/>
    </row>
    <row r="792">
      <c r="A792" s="201"/>
      <c r="B792" s="201"/>
      <c r="C792" s="201"/>
      <c r="D792" s="201"/>
      <c r="E792" s="202"/>
      <c r="F792" s="201"/>
      <c r="G792" s="204"/>
      <c r="H792" s="201"/>
    </row>
    <row r="793">
      <c r="A793" s="201"/>
      <c r="B793" s="201"/>
      <c r="C793" s="201"/>
      <c r="D793" s="201"/>
      <c r="E793" s="202"/>
      <c r="F793" s="201"/>
      <c r="G793" s="204"/>
      <c r="H793" s="201"/>
    </row>
    <row r="794">
      <c r="A794" s="201"/>
      <c r="B794" s="201"/>
      <c r="C794" s="201"/>
      <c r="D794" s="201"/>
      <c r="E794" s="202"/>
      <c r="F794" s="201"/>
      <c r="G794" s="204"/>
      <c r="H794" s="201"/>
    </row>
    <row r="795">
      <c r="A795" s="201"/>
      <c r="B795" s="201"/>
      <c r="C795" s="201"/>
      <c r="D795" s="201"/>
      <c r="E795" s="202"/>
      <c r="F795" s="201"/>
      <c r="G795" s="204"/>
      <c r="H795" s="201"/>
    </row>
    <row r="796">
      <c r="A796" s="201"/>
      <c r="B796" s="201"/>
      <c r="C796" s="201"/>
      <c r="D796" s="201"/>
      <c r="E796" s="202"/>
      <c r="F796" s="201"/>
      <c r="G796" s="204"/>
      <c r="H796" s="201"/>
    </row>
    <row r="797">
      <c r="A797" s="201"/>
      <c r="B797" s="201"/>
      <c r="C797" s="201"/>
      <c r="D797" s="201"/>
      <c r="E797" s="202"/>
      <c r="F797" s="201"/>
      <c r="G797" s="204"/>
      <c r="H797" s="201"/>
    </row>
    <row r="798">
      <c r="A798" s="201"/>
      <c r="B798" s="201"/>
      <c r="C798" s="201"/>
      <c r="D798" s="201"/>
      <c r="E798" s="202"/>
      <c r="F798" s="201"/>
      <c r="G798" s="204"/>
      <c r="H798" s="201"/>
    </row>
    <row r="799">
      <c r="A799" s="201"/>
      <c r="B799" s="201"/>
      <c r="C799" s="201"/>
      <c r="D799" s="201"/>
      <c r="E799" s="202"/>
      <c r="F799" s="201"/>
      <c r="G799" s="204"/>
      <c r="H799" s="201"/>
    </row>
    <row r="800">
      <c r="A800" s="201"/>
      <c r="B800" s="201"/>
      <c r="C800" s="201"/>
      <c r="D800" s="201"/>
      <c r="E800" s="202"/>
      <c r="F800" s="201"/>
      <c r="G800" s="204"/>
      <c r="H800" s="201"/>
    </row>
    <row r="801">
      <c r="A801" s="201"/>
      <c r="B801" s="201"/>
      <c r="C801" s="201"/>
      <c r="D801" s="201"/>
      <c r="E801" s="202"/>
      <c r="F801" s="201"/>
      <c r="G801" s="204"/>
      <c r="H801" s="201"/>
    </row>
    <row r="802">
      <c r="A802" s="201"/>
      <c r="B802" s="201"/>
      <c r="C802" s="201"/>
      <c r="D802" s="201"/>
      <c r="E802" s="202"/>
      <c r="F802" s="201"/>
      <c r="G802" s="204"/>
      <c r="H802" s="201"/>
    </row>
    <row r="803">
      <c r="A803" s="201"/>
      <c r="B803" s="201"/>
      <c r="C803" s="201"/>
      <c r="D803" s="201"/>
      <c r="E803" s="202"/>
      <c r="F803" s="201"/>
      <c r="G803" s="204"/>
      <c r="H803" s="201"/>
    </row>
    <row r="804">
      <c r="A804" s="201"/>
      <c r="B804" s="201"/>
      <c r="C804" s="201"/>
      <c r="D804" s="201"/>
      <c r="E804" s="202"/>
      <c r="F804" s="201"/>
      <c r="G804" s="204"/>
      <c r="H804" s="201"/>
    </row>
    <row r="805">
      <c r="A805" s="201"/>
      <c r="B805" s="201"/>
      <c r="C805" s="201"/>
      <c r="D805" s="201"/>
      <c r="E805" s="202"/>
      <c r="F805" s="201"/>
      <c r="G805" s="204"/>
      <c r="H805" s="201"/>
    </row>
    <row r="806">
      <c r="A806" s="201"/>
      <c r="B806" s="201"/>
      <c r="C806" s="201"/>
      <c r="D806" s="201"/>
      <c r="E806" s="202"/>
      <c r="F806" s="201"/>
      <c r="G806" s="204"/>
      <c r="H806" s="201"/>
    </row>
    <row r="807">
      <c r="A807" s="201"/>
      <c r="B807" s="201"/>
      <c r="C807" s="201"/>
      <c r="D807" s="201"/>
      <c r="E807" s="202"/>
      <c r="F807" s="201"/>
      <c r="G807" s="204"/>
      <c r="H807" s="201"/>
    </row>
    <row r="808">
      <c r="A808" s="201"/>
      <c r="B808" s="201"/>
      <c r="C808" s="201"/>
      <c r="D808" s="201"/>
      <c r="E808" s="202"/>
      <c r="F808" s="201"/>
      <c r="G808" s="204"/>
      <c r="H808" s="201"/>
    </row>
    <row r="809">
      <c r="A809" s="201"/>
      <c r="B809" s="201"/>
      <c r="C809" s="201"/>
      <c r="D809" s="201"/>
      <c r="E809" s="202"/>
      <c r="F809" s="201"/>
      <c r="G809" s="204"/>
      <c r="H809" s="201"/>
    </row>
    <row r="810">
      <c r="A810" s="201"/>
      <c r="B810" s="201"/>
      <c r="C810" s="201"/>
      <c r="D810" s="201"/>
      <c r="E810" s="202"/>
      <c r="F810" s="201"/>
      <c r="G810" s="204"/>
      <c r="H810" s="201"/>
    </row>
    <row r="811">
      <c r="A811" s="201"/>
      <c r="B811" s="201"/>
      <c r="C811" s="201"/>
      <c r="D811" s="201"/>
      <c r="E811" s="202"/>
      <c r="F811" s="201"/>
      <c r="G811" s="204"/>
      <c r="H811" s="201"/>
    </row>
    <row r="812">
      <c r="A812" s="201"/>
      <c r="B812" s="201"/>
      <c r="C812" s="201"/>
      <c r="D812" s="201"/>
      <c r="E812" s="202"/>
      <c r="F812" s="201"/>
      <c r="G812" s="204"/>
      <c r="H812" s="201"/>
    </row>
    <row r="813">
      <c r="A813" s="201"/>
      <c r="B813" s="201"/>
      <c r="C813" s="201"/>
      <c r="D813" s="201"/>
      <c r="E813" s="202"/>
      <c r="F813" s="201"/>
      <c r="G813" s="204"/>
      <c r="H813" s="201"/>
    </row>
    <row r="814">
      <c r="A814" s="201"/>
      <c r="B814" s="201"/>
      <c r="C814" s="201"/>
      <c r="D814" s="201"/>
      <c r="E814" s="202"/>
      <c r="F814" s="201"/>
      <c r="G814" s="204"/>
      <c r="H814" s="201"/>
    </row>
    <row r="815">
      <c r="A815" s="201"/>
      <c r="B815" s="201"/>
      <c r="C815" s="201"/>
      <c r="D815" s="201"/>
      <c r="E815" s="202"/>
      <c r="F815" s="201"/>
      <c r="G815" s="204"/>
      <c r="H815" s="201"/>
    </row>
    <row r="816">
      <c r="A816" s="201"/>
      <c r="B816" s="201"/>
      <c r="C816" s="201"/>
      <c r="D816" s="201"/>
      <c r="E816" s="202"/>
      <c r="F816" s="201"/>
      <c r="G816" s="204"/>
      <c r="H816" s="201"/>
    </row>
    <row r="817">
      <c r="A817" s="201"/>
      <c r="B817" s="201"/>
      <c r="C817" s="201"/>
      <c r="D817" s="201"/>
      <c r="E817" s="202"/>
      <c r="F817" s="201"/>
      <c r="G817" s="204"/>
      <c r="H817" s="201"/>
    </row>
    <row r="818">
      <c r="A818" s="201"/>
      <c r="B818" s="201"/>
      <c r="C818" s="201"/>
      <c r="D818" s="201"/>
      <c r="E818" s="202"/>
      <c r="F818" s="201"/>
      <c r="G818" s="204"/>
      <c r="H818" s="201"/>
    </row>
    <row r="819">
      <c r="A819" s="201"/>
      <c r="B819" s="201"/>
      <c r="C819" s="201"/>
      <c r="D819" s="201"/>
      <c r="E819" s="202"/>
      <c r="F819" s="201"/>
      <c r="G819" s="204"/>
      <c r="H819" s="201"/>
    </row>
    <row r="820">
      <c r="A820" s="201"/>
      <c r="B820" s="201"/>
      <c r="C820" s="201"/>
      <c r="D820" s="201"/>
      <c r="E820" s="202"/>
      <c r="F820" s="201"/>
      <c r="G820" s="204"/>
      <c r="H820" s="201"/>
    </row>
    <row r="821">
      <c r="A821" s="201"/>
      <c r="B821" s="201"/>
      <c r="C821" s="201"/>
      <c r="D821" s="201"/>
      <c r="E821" s="202"/>
      <c r="F821" s="201"/>
      <c r="G821" s="204"/>
      <c r="H821" s="201"/>
    </row>
    <row r="822">
      <c r="A822" s="201"/>
      <c r="B822" s="201"/>
      <c r="C822" s="201"/>
      <c r="D822" s="201"/>
      <c r="E822" s="202"/>
      <c r="F822" s="201"/>
      <c r="G822" s="204"/>
      <c r="H822" s="201"/>
    </row>
    <row r="823">
      <c r="A823" s="201"/>
      <c r="B823" s="201"/>
      <c r="C823" s="201"/>
      <c r="D823" s="201"/>
      <c r="E823" s="202"/>
      <c r="F823" s="201"/>
      <c r="G823" s="204"/>
      <c r="H823" s="201"/>
    </row>
    <row r="824">
      <c r="A824" s="201"/>
      <c r="B824" s="201"/>
      <c r="C824" s="201"/>
      <c r="D824" s="201"/>
      <c r="E824" s="202"/>
      <c r="F824" s="201"/>
      <c r="G824" s="204"/>
      <c r="H824" s="201"/>
    </row>
    <row r="825">
      <c r="A825" s="201"/>
      <c r="B825" s="201"/>
      <c r="C825" s="201"/>
      <c r="D825" s="201"/>
      <c r="E825" s="202"/>
      <c r="F825" s="201"/>
      <c r="G825" s="204"/>
      <c r="H825" s="201"/>
    </row>
    <row r="826">
      <c r="A826" s="201"/>
      <c r="B826" s="201"/>
      <c r="C826" s="201"/>
      <c r="D826" s="201"/>
      <c r="E826" s="202"/>
      <c r="F826" s="201"/>
      <c r="G826" s="204"/>
      <c r="H826" s="201"/>
    </row>
    <row r="827">
      <c r="A827" s="201"/>
      <c r="B827" s="201"/>
      <c r="C827" s="201"/>
      <c r="D827" s="201"/>
      <c r="E827" s="202"/>
      <c r="F827" s="201"/>
      <c r="G827" s="204"/>
      <c r="H827" s="201"/>
    </row>
    <row r="828">
      <c r="A828" s="201"/>
      <c r="B828" s="201"/>
      <c r="C828" s="201"/>
      <c r="D828" s="201"/>
      <c r="E828" s="202"/>
      <c r="F828" s="201"/>
      <c r="G828" s="204"/>
      <c r="H828" s="201"/>
    </row>
    <row r="829">
      <c r="A829" s="201"/>
      <c r="B829" s="201"/>
      <c r="C829" s="201"/>
      <c r="D829" s="201"/>
      <c r="E829" s="202"/>
      <c r="F829" s="201"/>
      <c r="G829" s="204"/>
      <c r="H829" s="201"/>
    </row>
    <row r="830">
      <c r="A830" s="201"/>
      <c r="B830" s="201"/>
      <c r="C830" s="201"/>
      <c r="D830" s="201"/>
      <c r="E830" s="202"/>
      <c r="F830" s="201"/>
      <c r="G830" s="204"/>
      <c r="H830" s="201"/>
    </row>
    <row r="831">
      <c r="A831" s="201"/>
      <c r="B831" s="201"/>
      <c r="C831" s="201"/>
      <c r="D831" s="201"/>
      <c r="E831" s="202"/>
      <c r="F831" s="201"/>
      <c r="G831" s="204"/>
      <c r="H831" s="201"/>
    </row>
    <row r="832">
      <c r="A832" s="201"/>
      <c r="B832" s="201"/>
      <c r="C832" s="201"/>
      <c r="D832" s="201"/>
      <c r="E832" s="202"/>
      <c r="F832" s="201"/>
      <c r="G832" s="204"/>
      <c r="H832" s="201"/>
    </row>
    <row r="833">
      <c r="A833" s="201"/>
      <c r="B833" s="201"/>
      <c r="C833" s="201"/>
      <c r="D833" s="201"/>
      <c r="E833" s="202"/>
      <c r="F833" s="201"/>
      <c r="G833" s="204"/>
      <c r="H833" s="201"/>
    </row>
    <row r="834">
      <c r="A834" s="201"/>
      <c r="B834" s="201"/>
      <c r="C834" s="201"/>
      <c r="D834" s="201"/>
      <c r="E834" s="202"/>
      <c r="F834" s="201"/>
      <c r="G834" s="204"/>
      <c r="H834" s="201"/>
    </row>
    <row r="835">
      <c r="A835" s="201"/>
      <c r="B835" s="201"/>
      <c r="C835" s="201"/>
      <c r="D835" s="201"/>
      <c r="E835" s="202"/>
      <c r="F835" s="201"/>
      <c r="G835" s="204"/>
      <c r="H835" s="201"/>
    </row>
    <row r="836">
      <c r="A836" s="201"/>
      <c r="B836" s="201"/>
      <c r="C836" s="201"/>
      <c r="D836" s="201"/>
      <c r="E836" s="202"/>
      <c r="F836" s="201"/>
      <c r="G836" s="204"/>
      <c r="H836" s="201"/>
    </row>
    <row r="837">
      <c r="A837" s="201"/>
      <c r="B837" s="201"/>
      <c r="C837" s="201"/>
      <c r="D837" s="201"/>
      <c r="E837" s="202"/>
      <c r="F837" s="201"/>
      <c r="G837" s="204"/>
      <c r="H837" s="201"/>
    </row>
    <row r="838">
      <c r="A838" s="201"/>
      <c r="B838" s="201"/>
      <c r="C838" s="201"/>
      <c r="D838" s="201"/>
      <c r="E838" s="202"/>
      <c r="F838" s="201"/>
      <c r="G838" s="204"/>
      <c r="H838" s="201"/>
    </row>
    <row r="839">
      <c r="A839" s="201"/>
      <c r="B839" s="201"/>
      <c r="C839" s="201"/>
      <c r="D839" s="201"/>
      <c r="E839" s="202"/>
      <c r="F839" s="201"/>
      <c r="G839" s="204"/>
      <c r="H839" s="201"/>
    </row>
    <row r="840">
      <c r="A840" s="201"/>
      <c r="B840" s="201"/>
      <c r="C840" s="201"/>
      <c r="D840" s="201"/>
      <c r="E840" s="202"/>
      <c r="F840" s="201"/>
      <c r="G840" s="204"/>
      <c r="H840" s="201"/>
    </row>
    <row r="841">
      <c r="A841" s="201"/>
      <c r="B841" s="201"/>
      <c r="C841" s="201"/>
      <c r="D841" s="201"/>
      <c r="E841" s="202"/>
      <c r="F841" s="201"/>
      <c r="G841" s="204"/>
      <c r="H841" s="201"/>
    </row>
    <row r="842">
      <c r="A842" s="201"/>
      <c r="B842" s="201"/>
      <c r="C842" s="201"/>
      <c r="D842" s="201"/>
      <c r="E842" s="202"/>
      <c r="F842" s="201"/>
      <c r="G842" s="204"/>
      <c r="H842" s="201"/>
    </row>
    <row r="843">
      <c r="A843" s="201"/>
      <c r="B843" s="201"/>
      <c r="C843" s="201"/>
      <c r="D843" s="201"/>
      <c r="E843" s="202"/>
      <c r="F843" s="201"/>
      <c r="G843" s="204"/>
      <c r="H843" s="201"/>
    </row>
    <row r="844">
      <c r="A844" s="201"/>
      <c r="B844" s="201"/>
      <c r="C844" s="201"/>
      <c r="D844" s="201"/>
      <c r="E844" s="202"/>
      <c r="F844" s="201"/>
      <c r="G844" s="204"/>
      <c r="H844" s="201"/>
    </row>
    <row r="845">
      <c r="A845" s="201"/>
      <c r="B845" s="201"/>
      <c r="C845" s="201"/>
      <c r="D845" s="201"/>
      <c r="E845" s="202"/>
      <c r="F845" s="201"/>
      <c r="G845" s="204"/>
      <c r="H845" s="201"/>
    </row>
    <row r="846">
      <c r="A846" s="201"/>
      <c r="B846" s="201"/>
      <c r="C846" s="201"/>
      <c r="D846" s="201"/>
      <c r="E846" s="202"/>
      <c r="F846" s="201"/>
      <c r="G846" s="204"/>
      <c r="H846" s="201"/>
    </row>
    <row r="847">
      <c r="A847" s="201"/>
      <c r="B847" s="201"/>
      <c r="C847" s="201"/>
      <c r="D847" s="201"/>
      <c r="E847" s="202"/>
      <c r="F847" s="201"/>
      <c r="G847" s="204"/>
      <c r="H847" s="201"/>
    </row>
    <row r="848">
      <c r="A848" s="201"/>
      <c r="B848" s="201"/>
      <c r="C848" s="201"/>
      <c r="D848" s="201"/>
      <c r="E848" s="202"/>
      <c r="F848" s="201"/>
      <c r="G848" s="204"/>
      <c r="H848" s="201"/>
    </row>
    <row r="849">
      <c r="A849" s="201"/>
      <c r="B849" s="201"/>
      <c r="C849" s="201"/>
      <c r="D849" s="201"/>
      <c r="E849" s="202"/>
      <c r="F849" s="201"/>
      <c r="G849" s="204"/>
      <c r="H849" s="201"/>
    </row>
    <row r="850">
      <c r="A850" s="201"/>
      <c r="B850" s="201"/>
      <c r="C850" s="201"/>
      <c r="D850" s="201"/>
      <c r="E850" s="202"/>
      <c r="F850" s="201"/>
      <c r="G850" s="204"/>
      <c r="H850" s="201"/>
    </row>
    <row r="851">
      <c r="A851" s="201"/>
      <c r="B851" s="201"/>
      <c r="C851" s="201"/>
      <c r="D851" s="201"/>
      <c r="E851" s="202"/>
      <c r="F851" s="201"/>
      <c r="G851" s="204"/>
      <c r="H851" s="201"/>
    </row>
    <row r="852">
      <c r="A852" s="201"/>
      <c r="B852" s="201"/>
      <c r="C852" s="201"/>
      <c r="D852" s="201"/>
      <c r="E852" s="202"/>
      <c r="F852" s="201"/>
      <c r="G852" s="204"/>
      <c r="H852" s="201"/>
    </row>
    <row r="853">
      <c r="A853" s="201"/>
      <c r="B853" s="201"/>
      <c r="C853" s="201"/>
      <c r="D853" s="201"/>
      <c r="E853" s="202"/>
      <c r="F853" s="201"/>
      <c r="G853" s="204"/>
      <c r="H853" s="201"/>
    </row>
    <row r="854">
      <c r="A854" s="201"/>
      <c r="B854" s="201"/>
      <c r="C854" s="201"/>
      <c r="D854" s="201"/>
      <c r="E854" s="202"/>
      <c r="F854" s="201"/>
      <c r="G854" s="204"/>
      <c r="H854" s="201"/>
    </row>
    <row r="855">
      <c r="A855" s="201"/>
      <c r="B855" s="201"/>
      <c r="C855" s="201"/>
      <c r="D855" s="201"/>
      <c r="E855" s="202"/>
      <c r="F855" s="201"/>
      <c r="G855" s="204"/>
      <c r="H855" s="201"/>
    </row>
    <row r="856">
      <c r="A856" s="201"/>
      <c r="B856" s="201"/>
      <c r="C856" s="201"/>
      <c r="D856" s="201"/>
      <c r="E856" s="202"/>
      <c r="F856" s="201"/>
      <c r="G856" s="204"/>
      <c r="H856" s="201"/>
    </row>
    <row r="857">
      <c r="A857" s="201"/>
      <c r="B857" s="201"/>
      <c r="C857" s="201"/>
      <c r="D857" s="201"/>
      <c r="E857" s="202"/>
      <c r="F857" s="201"/>
      <c r="G857" s="204"/>
      <c r="H857" s="201"/>
    </row>
    <row r="858">
      <c r="A858" s="201"/>
      <c r="B858" s="201"/>
      <c r="C858" s="201"/>
      <c r="D858" s="201"/>
      <c r="E858" s="202"/>
      <c r="F858" s="201"/>
      <c r="G858" s="204"/>
      <c r="H858" s="201"/>
    </row>
    <row r="859">
      <c r="A859" s="201"/>
      <c r="B859" s="201"/>
      <c r="C859" s="201"/>
      <c r="D859" s="201"/>
      <c r="E859" s="202"/>
      <c r="F859" s="201"/>
      <c r="G859" s="204"/>
      <c r="H859" s="201"/>
    </row>
    <row r="860">
      <c r="A860" s="201"/>
      <c r="B860" s="201"/>
      <c r="C860" s="201"/>
      <c r="D860" s="201"/>
      <c r="E860" s="202"/>
      <c r="F860" s="201"/>
      <c r="G860" s="204"/>
      <c r="H860" s="201"/>
    </row>
    <row r="861">
      <c r="A861" s="201"/>
      <c r="B861" s="201"/>
      <c r="C861" s="201"/>
      <c r="D861" s="201"/>
      <c r="E861" s="202"/>
      <c r="F861" s="201"/>
      <c r="G861" s="204"/>
      <c r="H861" s="201"/>
    </row>
    <row r="862">
      <c r="A862" s="201"/>
      <c r="B862" s="201"/>
      <c r="C862" s="201"/>
      <c r="D862" s="201"/>
      <c r="E862" s="202"/>
      <c r="F862" s="201"/>
      <c r="G862" s="204"/>
      <c r="H862" s="201"/>
    </row>
    <row r="863">
      <c r="A863" s="201"/>
      <c r="B863" s="201"/>
      <c r="C863" s="201"/>
      <c r="D863" s="201"/>
      <c r="E863" s="202"/>
      <c r="F863" s="201"/>
      <c r="G863" s="204"/>
      <c r="H863" s="201"/>
    </row>
    <row r="864">
      <c r="A864" s="201"/>
      <c r="B864" s="201"/>
      <c r="C864" s="201"/>
      <c r="D864" s="201"/>
      <c r="E864" s="202"/>
      <c r="F864" s="201"/>
      <c r="G864" s="204"/>
      <c r="H864" s="201"/>
    </row>
    <row r="865">
      <c r="A865" s="201"/>
      <c r="B865" s="201"/>
      <c r="C865" s="201"/>
      <c r="D865" s="201"/>
      <c r="E865" s="202"/>
      <c r="F865" s="201"/>
      <c r="G865" s="204"/>
      <c r="H865" s="201"/>
    </row>
    <row r="866">
      <c r="A866" s="201"/>
      <c r="B866" s="201"/>
      <c r="C866" s="201"/>
      <c r="D866" s="201"/>
      <c r="E866" s="202"/>
      <c r="F866" s="201"/>
      <c r="G866" s="204"/>
      <c r="H866" s="201"/>
    </row>
    <row r="867">
      <c r="A867" s="201"/>
      <c r="B867" s="201"/>
      <c r="C867" s="201"/>
      <c r="D867" s="201"/>
      <c r="E867" s="202"/>
      <c r="F867" s="201"/>
      <c r="G867" s="204"/>
      <c r="H867" s="201"/>
    </row>
    <row r="868">
      <c r="A868" s="201"/>
      <c r="B868" s="201"/>
      <c r="C868" s="201"/>
      <c r="D868" s="201"/>
      <c r="E868" s="202"/>
      <c r="F868" s="201"/>
      <c r="G868" s="204"/>
      <c r="H868" s="201"/>
    </row>
    <row r="869">
      <c r="A869" s="201"/>
      <c r="B869" s="201"/>
      <c r="C869" s="201"/>
      <c r="D869" s="201"/>
      <c r="E869" s="202"/>
      <c r="F869" s="201"/>
      <c r="G869" s="204"/>
      <c r="H869" s="201"/>
    </row>
    <row r="870">
      <c r="A870" s="201"/>
      <c r="B870" s="201"/>
      <c r="C870" s="201"/>
      <c r="D870" s="201"/>
      <c r="E870" s="202"/>
      <c r="F870" s="201"/>
      <c r="G870" s="204"/>
      <c r="H870" s="201"/>
    </row>
    <row r="871">
      <c r="A871" s="201"/>
      <c r="B871" s="201"/>
      <c r="C871" s="201"/>
      <c r="D871" s="201"/>
      <c r="E871" s="202"/>
      <c r="F871" s="201"/>
      <c r="G871" s="204"/>
      <c r="H871" s="201"/>
    </row>
    <row r="872">
      <c r="A872" s="201"/>
      <c r="B872" s="201"/>
      <c r="C872" s="201"/>
      <c r="D872" s="201"/>
      <c r="E872" s="202"/>
      <c r="F872" s="201"/>
      <c r="G872" s="204"/>
      <c r="H872" s="201"/>
    </row>
    <row r="873">
      <c r="A873" s="201"/>
      <c r="B873" s="201"/>
      <c r="C873" s="201"/>
      <c r="D873" s="201"/>
      <c r="E873" s="202"/>
      <c r="F873" s="201"/>
      <c r="G873" s="204"/>
      <c r="H873" s="201"/>
    </row>
    <row r="874">
      <c r="A874" s="201"/>
      <c r="B874" s="201"/>
      <c r="C874" s="201"/>
      <c r="D874" s="201"/>
      <c r="E874" s="202"/>
      <c r="F874" s="201"/>
      <c r="G874" s="204"/>
      <c r="H874" s="201"/>
    </row>
    <row r="875">
      <c r="A875" s="201"/>
      <c r="B875" s="201"/>
      <c r="C875" s="201"/>
      <c r="D875" s="201"/>
      <c r="E875" s="202"/>
      <c r="F875" s="201"/>
      <c r="G875" s="204"/>
      <c r="H875" s="201"/>
    </row>
    <row r="876">
      <c r="A876" s="201"/>
      <c r="B876" s="201"/>
      <c r="C876" s="201"/>
      <c r="D876" s="201"/>
      <c r="E876" s="202"/>
      <c r="F876" s="201"/>
      <c r="G876" s="204"/>
      <c r="H876" s="201"/>
    </row>
    <row r="877">
      <c r="A877" s="201"/>
      <c r="B877" s="201"/>
      <c r="C877" s="201"/>
      <c r="D877" s="201"/>
      <c r="E877" s="202"/>
      <c r="F877" s="201"/>
      <c r="G877" s="204"/>
      <c r="H877" s="201"/>
    </row>
    <row r="878">
      <c r="A878" s="201"/>
      <c r="B878" s="201"/>
      <c r="C878" s="201"/>
      <c r="D878" s="201"/>
      <c r="E878" s="202"/>
      <c r="F878" s="201"/>
      <c r="G878" s="204"/>
      <c r="H878" s="201"/>
    </row>
    <row r="879">
      <c r="A879" s="201"/>
      <c r="B879" s="201"/>
      <c r="C879" s="201"/>
      <c r="D879" s="201"/>
      <c r="E879" s="202"/>
      <c r="F879" s="201"/>
      <c r="G879" s="204"/>
      <c r="H879" s="201"/>
    </row>
    <row r="880">
      <c r="A880" s="201"/>
      <c r="B880" s="201"/>
      <c r="C880" s="201"/>
      <c r="D880" s="201"/>
      <c r="E880" s="202"/>
      <c r="F880" s="201"/>
      <c r="G880" s="204"/>
      <c r="H880" s="201"/>
    </row>
    <row r="881">
      <c r="A881" s="201"/>
      <c r="B881" s="201"/>
      <c r="C881" s="201"/>
      <c r="D881" s="201"/>
      <c r="E881" s="202"/>
      <c r="F881" s="201"/>
      <c r="G881" s="204"/>
      <c r="H881" s="201"/>
    </row>
    <row r="882">
      <c r="A882" s="201"/>
      <c r="B882" s="201"/>
      <c r="C882" s="201"/>
      <c r="D882" s="201"/>
      <c r="E882" s="202"/>
      <c r="F882" s="201"/>
      <c r="G882" s="204"/>
      <c r="H882" s="201"/>
    </row>
    <row r="883">
      <c r="A883" s="201"/>
      <c r="B883" s="201"/>
      <c r="C883" s="201"/>
      <c r="D883" s="201"/>
      <c r="E883" s="202"/>
      <c r="F883" s="201"/>
      <c r="G883" s="204"/>
      <c r="H883" s="201"/>
    </row>
    <row r="884">
      <c r="A884" s="201"/>
      <c r="B884" s="201"/>
      <c r="C884" s="201"/>
      <c r="D884" s="201"/>
      <c r="E884" s="202"/>
      <c r="F884" s="201"/>
      <c r="G884" s="204"/>
      <c r="H884" s="201"/>
    </row>
    <row r="885">
      <c r="A885" s="201"/>
      <c r="B885" s="201"/>
      <c r="C885" s="201"/>
      <c r="D885" s="201"/>
      <c r="E885" s="202"/>
      <c r="F885" s="201"/>
      <c r="G885" s="204"/>
      <c r="H885" s="201"/>
    </row>
    <row r="886">
      <c r="A886" s="201"/>
      <c r="B886" s="201"/>
      <c r="C886" s="201"/>
      <c r="D886" s="201"/>
      <c r="E886" s="202"/>
      <c r="F886" s="201"/>
      <c r="G886" s="204"/>
      <c r="H886" s="201"/>
    </row>
    <row r="887">
      <c r="A887" s="201"/>
      <c r="B887" s="201"/>
      <c r="C887" s="201"/>
      <c r="D887" s="201"/>
      <c r="E887" s="202"/>
      <c r="F887" s="201"/>
      <c r="G887" s="204"/>
      <c r="H887" s="201"/>
    </row>
    <row r="888">
      <c r="A888" s="201"/>
      <c r="B888" s="201"/>
      <c r="C888" s="201"/>
      <c r="D888" s="201"/>
      <c r="E888" s="202"/>
      <c r="F888" s="201"/>
      <c r="G888" s="204"/>
      <c r="H888" s="201"/>
    </row>
    <row r="889">
      <c r="A889" s="201"/>
      <c r="B889" s="201"/>
      <c r="C889" s="201"/>
      <c r="D889" s="201"/>
      <c r="E889" s="202"/>
      <c r="F889" s="201"/>
      <c r="G889" s="204"/>
      <c r="H889" s="201"/>
    </row>
    <row r="890">
      <c r="A890" s="201"/>
      <c r="B890" s="201"/>
      <c r="C890" s="201"/>
      <c r="D890" s="201"/>
      <c r="E890" s="202"/>
      <c r="F890" s="201"/>
      <c r="G890" s="204"/>
      <c r="H890" s="201"/>
    </row>
    <row r="891">
      <c r="A891" s="201"/>
      <c r="B891" s="201"/>
      <c r="C891" s="201"/>
      <c r="D891" s="201"/>
      <c r="E891" s="202"/>
      <c r="F891" s="201"/>
      <c r="G891" s="204"/>
      <c r="H891" s="201"/>
    </row>
    <row r="892">
      <c r="A892" s="201"/>
      <c r="B892" s="201"/>
      <c r="C892" s="201"/>
      <c r="D892" s="201"/>
      <c r="E892" s="202"/>
      <c r="F892" s="201"/>
      <c r="G892" s="204"/>
      <c r="H892" s="201"/>
    </row>
    <row r="893">
      <c r="A893" s="201"/>
      <c r="B893" s="201"/>
      <c r="C893" s="201"/>
      <c r="D893" s="201"/>
      <c r="E893" s="202"/>
      <c r="F893" s="201"/>
      <c r="G893" s="204"/>
      <c r="H893" s="201"/>
    </row>
    <row r="894">
      <c r="A894" s="201"/>
      <c r="B894" s="201"/>
      <c r="C894" s="201"/>
      <c r="D894" s="201"/>
      <c r="E894" s="202"/>
      <c r="F894" s="201"/>
      <c r="G894" s="204"/>
      <c r="H894" s="201"/>
    </row>
    <row r="895">
      <c r="A895" s="201"/>
      <c r="B895" s="201"/>
      <c r="C895" s="201"/>
      <c r="D895" s="201"/>
      <c r="E895" s="202"/>
      <c r="F895" s="201"/>
      <c r="G895" s="204"/>
      <c r="H895" s="201"/>
    </row>
    <row r="896">
      <c r="A896" s="201"/>
      <c r="B896" s="201"/>
      <c r="C896" s="201"/>
      <c r="D896" s="201"/>
      <c r="E896" s="202"/>
      <c r="F896" s="201"/>
      <c r="G896" s="204"/>
      <c r="H896" s="201"/>
    </row>
    <row r="897">
      <c r="A897" s="201"/>
      <c r="B897" s="201"/>
      <c r="C897" s="201"/>
      <c r="D897" s="201"/>
      <c r="E897" s="202"/>
      <c r="F897" s="201"/>
      <c r="G897" s="204"/>
      <c r="H897" s="201"/>
    </row>
    <row r="898">
      <c r="A898" s="201"/>
      <c r="B898" s="201"/>
      <c r="C898" s="201"/>
      <c r="D898" s="201"/>
      <c r="E898" s="202"/>
      <c r="F898" s="201"/>
      <c r="G898" s="204"/>
      <c r="H898" s="201"/>
    </row>
    <row r="899">
      <c r="A899" s="201"/>
      <c r="B899" s="201"/>
      <c r="C899" s="201"/>
      <c r="D899" s="201"/>
      <c r="E899" s="202"/>
      <c r="F899" s="201"/>
      <c r="G899" s="204"/>
      <c r="H899" s="201"/>
    </row>
    <row r="900">
      <c r="A900" s="201"/>
      <c r="B900" s="201"/>
      <c r="C900" s="201"/>
      <c r="D900" s="201"/>
      <c r="E900" s="202"/>
      <c r="F900" s="201"/>
      <c r="G900" s="204"/>
      <c r="H900" s="201"/>
    </row>
    <row r="901">
      <c r="A901" s="201"/>
      <c r="B901" s="201"/>
      <c r="C901" s="201"/>
      <c r="D901" s="201"/>
      <c r="E901" s="202"/>
      <c r="F901" s="201"/>
      <c r="G901" s="204"/>
      <c r="H901" s="201"/>
    </row>
    <row r="902">
      <c r="A902" s="201"/>
      <c r="B902" s="201"/>
      <c r="C902" s="201"/>
      <c r="D902" s="201"/>
      <c r="E902" s="202"/>
      <c r="F902" s="201"/>
      <c r="G902" s="204"/>
      <c r="H902" s="201"/>
    </row>
    <row r="903">
      <c r="A903" s="201"/>
      <c r="B903" s="201"/>
      <c r="C903" s="201"/>
      <c r="D903" s="201"/>
      <c r="E903" s="202"/>
      <c r="F903" s="201"/>
      <c r="G903" s="204"/>
      <c r="H903" s="201"/>
    </row>
    <row r="904">
      <c r="A904" s="201"/>
      <c r="B904" s="201"/>
      <c r="C904" s="201"/>
      <c r="D904" s="201"/>
      <c r="E904" s="202"/>
      <c r="F904" s="201"/>
      <c r="G904" s="204"/>
      <c r="H904" s="201"/>
    </row>
    <row r="905">
      <c r="A905" s="201"/>
      <c r="B905" s="201"/>
      <c r="C905" s="201"/>
      <c r="D905" s="201"/>
      <c r="E905" s="202"/>
      <c r="F905" s="201"/>
      <c r="G905" s="204"/>
      <c r="H905" s="201"/>
    </row>
    <row r="906">
      <c r="A906" s="201"/>
      <c r="B906" s="201"/>
      <c r="C906" s="201"/>
      <c r="D906" s="201"/>
      <c r="E906" s="202"/>
      <c r="F906" s="201"/>
      <c r="G906" s="204"/>
      <c r="H906" s="201"/>
    </row>
    <row r="907">
      <c r="A907" s="201"/>
      <c r="B907" s="201"/>
      <c r="C907" s="201"/>
      <c r="D907" s="201"/>
      <c r="E907" s="202"/>
      <c r="F907" s="201"/>
      <c r="G907" s="204"/>
      <c r="H907" s="201"/>
    </row>
    <row r="908">
      <c r="A908" s="201"/>
      <c r="B908" s="201"/>
      <c r="C908" s="201"/>
      <c r="D908" s="201"/>
      <c r="E908" s="202"/>
      <c r="F908" s="201"/>
      <c r="G908" s="204"/>
      <c r="H908" s="201"/>
    </row>
    <row r="909">
      <c r="A909" s="201"/>
      <c r="B909" s="201"/>
      <c r="C909" s="201"/>
      <c r="D909" s="201"/>
      <c r="E909" s="202"/>
      <c r="F909" s="201"/>
      <c r="G909" s="204"/>
      <c r="H909" s="201"/>
    </row>
    <row r="910">
      <c r="A910" s="201"/>
      <c r="B910" s="201"/>
      <c r="C910" s="201"/>
      <c r="D910" s="201"/>
      <c r="E910" s="202"/>
      <c r="F910" s="201"/>
      <c r="G910" s="204"/>
      <c r="H910" s="201"/>
    </row>
    <row r="911">
      <c r="A911" s="201"/>
      <c r="B911" s="201"/>
      <c r="C911" s="201"/>
      <c r="D911" s="201"/>
      <c r="E911" s="202"/>
      <c r="F911" s="201"/>
      <c r="G911" s="204"/>
      <c r="H911" s="201"/>
    </row>
    <row r="912">
      <c r="A912" s="201"/>
      <c r="B912" s="201"/>
      <c r="C912" s="201"/>
      <c r="D912" s="201"/>
      <c r="E912" s="202"/>
      <c r="F912" s="201"/>
      <c r="G912" s="204"/>
      <c r="H912" s="201"/>
    </row>
    <row r="913">
      <c r="A913" s="201"/>
      <c r="B913" s="201"/>
      <c r="C913" s="201"/>
      <c r="D913" s="201"/>
      <c r="E913" s="202"/>
      <c r="F913" s="201"/>
      <c r="G913" s="204"/>
      <c r="H913" s="201"/>
    </row>
    <row r="914">
      <c r="A914" s="201"/>
      <c r="B914" s="201"/>
      <c r="C914" s="201"/>
      <c r="D914" s="201"/>
      <c r="E914" s="202"/>
      <c r="F914" s="201"/>
      <c r="G914" s="204"/>
      <c r="H914" s="201"/>
    </row>
    <row r="915">
      <c r="A915" s="201"/>
      <c r="B915" s="201"/>
      <c r="C915" s="201"/>
      <c r="D915" s="201"/>
      <c r="E915" s="202"/>
      <c r="F915" s="201"/>
      <c r="G915" s="204"/>
      <c r="H915" s="201"/>
    </row>
    <row r="916">
      <c r="A916" s="201"/>
      <c r="B916" s="201"/>
      <c r="C916" s="201"/>
      <c r="D916" s="201"/>
      <c r="E916" s="202"/>
      <c r="F916" s="201"/>
      <c r="G916" s="204"/>
      <c r="H916" s="201"/>
    </row>
    <row r="917">
      <c r="A917" s="201"/>
      <c r="B917" s="201"/>
      <c r="C917" s="201"/>
      <c r="D917" s="201"/>
      <c r="E917" s="202"/>
      <c r="F917" s="201"/>
      <c r="G917" s="204"/>
      <c r="H917" s="201"/>
    </row>
    <row r="918">
      <c r="A918" s="201"/>
      <c r="B918" s="201"/>
      <c r="C918" s="201"/>
      <c r="D918" s="201"/>
      <c r="E918" s="202"/>
      <c r="F918" s="201"/>
      <c r="G918" s="204"/>
      <c r="H918" s="201"/>
    </row>
    <row r="919">
      <c r="A919" s="201"/>
      <c r="B919" s="201"/>
      <c r="C919" s="201"/>
      <c r="D919" s="201"/>
      <c r="E919" s="202"/>
      <c r="F919" s="201"/>
      <c r="G919" s="204"/>
      <c r="H919" s="201"/>
    </row>
    <row r="920">
      <c r="A920" s="201"/>
      <c r="B920" s="201"/>
      <c r="C920" s="201"/>
      <c r="D920" s="201"/>
      <c r="E920" s="202"/>
      <c r="F920" s="201"/>
      <c r="G920" s="204"/>
      <c r="H920" s="201"/>
    </row>
    <row r="921">
      <c r="A921" s="201"/>
      <c r="B921" s="201"/>
      <c r="C921" s="201"/>
      <c r="D921" s="201"/>
      <c r="E921" s="202"/>
      <c r="F921" s="201"/>
      <c r="G921" s="204"/>
      <c r="H921" s="201"/>
    </row>
    <row r="922">
      <c r="A922" s="201"/>
      <c r="B922" s="201"/>
      <c r="C922" s="201"/>
      <c r="D922" s="201"/>
      <c r="E922" s="202"/>
      <c r="F922" s="201"/>
      <c r="G922" s="204"/>
      <c r="H922" s="201"/>
    </row>
    <row r="923">
      <c r="A923" s="201"/>
      <c r="B923" s="201"/>
      <c r="C923" s="201"/>
      <c r="D923" s="201"/>
      <c r="E923" s="202"/>
      <c r="F923" s="201"/>
      <c r="G923" s="204"/>
      <c r="H923" s="201"/>
    </row>
    <row r="924">
      <c r="A924" s="201"/>
      <c r="B924" s="201"/>
      <c r="C924" s="201"/>
      <c r="D924" s="201"/>
      <c r="E924" s="202"/>
      <c r="F924" s="201"/>
      <c r="G924" s="204"/>
      <c r="H924" s="201"/>
    </row>
    <row r="925">
      <c r="A925" s="201"/>
      <c r="B925" s="201"/>
      <c r="C925" s="201"/>
      <c r="D925" s="201"/>
      <c r="E925" s="202"/>
      <c r="F925" s="201"/>
      <c r="G925" s="204"/>
      <c r="H925" s="201"/>
    </row>
    <row r="926">
      <c r="A926" s="201"/>
      <c r="B926" s="201"/>
      <c r="C926" s="201"/>
      <c r="D926" s="201"/>
      <c r="E926" s="202"/>
      <c r="F926" s="201"/>
      <c r="G926" s="204"/>
      <c r="H926" s="201"/>
    </row>
    <row r="927">
      <c r="A927" s="201"/>
      <c r="B927" s="201"/>
      <c r="C927" s="201"/>
      <c r="D927" s="201"/>
      <c r="E927" s="202"/>
      <c r="F927" s="201"/>
      <c r="G927" s="204"/>
      <c r="H927" s="201"/>
    </row>
    <row r="928">
      <c r="A928" s="201"/>
      <c r="B928" s="201"/>
      <c r="C928" s="201"/>
      <c r="D928" s="201"/>
      <c r="E928" s="202"/>
      <c r="F928" s="201"/>
      <c r="G928" s="204"/>
      <c r="H928" s="201"/>
    </row>
    <row r="929">
      <c r="A929" s="201"/>
      <c r="B929" s="201"/>
      <c r="C929" s="201"/>
      <c r="D929" s="201"/>
      <c r="E929" s="202"/>
      <c r="F929" s="201"/>
      <c r="G929" s="204"/>
      <c r="H929" s="201"/>
    </row>
    <row r="930">
      <c r="A930" s="201"/>
      <c r="B930" s="201"/>
      <c r="C930" s="201"/>
      <c r="D930" s="201"/>
      <c r="E930" s="202"/>
      <c r="F930" s="201"/>
      <c r="G930" s="204"/>
      <c r="H930" s="201"/>
    </row>
    <row r="931">
      <c r="A931" s="201"/>
      <c r="B931" s="201"/>
      <c r="C931" s="201"/>
      <c r="D931" s="201"/>
      <c r="E931" s="202"/>
      <c r="F931" s="201"/>
      <c r="G931" s="204"/>
      <c r="H931" s="201"/>
    </row>
    <row r="932">
      <c r="A932" s="201"/>
      <c r="B932" s="201"/>
      <c r="C932" s="201"/>
      <c r="D932" s="201"/>
      <c r="E932" s="202"/>
      <c r="F932" s="201"/>
      <c r="G932" s="204"/>
      <c r="H932" s="201"/>
    </row>
    <row r="933">
      <c r="A933" s="201"/>
      <c r="B933" s="201"/>
      <c r="C933" s="201"/>
      <c r="D933" s="201"/>
      <c r="E933" s="202"/>
      <c r="F933" s="201"/>
      <c r="G933" s="204"/>
      <c r="H933" s="201"/>
    </row>
    <row r="934">
      <c r="A934" s="201"/>
      <c r="B934" s="201"/>
      <c r="C934" s="201"/>
      <c r="D934" s="201"/>
      <c r="E934" s="202"/>
      <c r="F934" s="201"/>
      <c r="G934" s="204"/>
      <c r="H934" s="201"/>
    </row>
    <row r="935">
      <c r="A935" s="201"/>
      <c r="B935" s="201"/>
      <c r="C935" s="201"/>
      <c r="D935" s="201"/>
      <c r="E935" s="202"/>
      <c r="F935" s="201"/>
      <c r="G935" s="204"/>
      <c r="H935" s="201"/>
    </row>
    <row r="936">
      <c r="A936" s="201"/>
      <c r="B936" s="201"/>
      <c r="C936" s="201"/>
      <c r="D936" s="201"/>
      <c r="E936" s="202"/>
      <c r="F936" s="201"/>
      <c r="G936" s="204"/>
      <c r="H936" s="201"/>
    </row>
    <row r="937">
      <c r="A937" s="201"/>
      <c r="B937" s="201"/>
      <c r="C937" s="201"/>
      <c r="D937" s="201"/>
      <c r="E937" s="202"/>
      <c r="F937" s="201"/>
      <c r="G937" s="204"/>
      <c r="H937" s="201"/>
    </row>
    <row r="938">
      <c r="A938" s="201"/>
      <c r="B938" s="201"/>
      <c r="C938" s="201"/>
      <c r="D938" s="201"/>
      <c r="E938" s="202"/>
      <c r="F938" s="201"/>
      <c r="G938" s="204"/>
      <c r="H938" s="201"/>
    </row>
    <row r="939">
      <c r="A939" s="201"/>
      <c r="B939" s="201"/>
      <c r="C939" s="201"/>
      <c r="D939" s="201"/>
      <c r="E939" s="202"/>
      <c r="F939" s="201"/>
      <c r="G939" s="204"/>
      <c r="H939" s="201"/>
    </row>
    <row r="940">
      <c r="A940" s="201"/>
      <c r="B940" s="201"/>
      <c r="C940" s="201"/>
      <c r="D940" s="201"/>
      <c r="E940" s="202"/>
      <c r="F940" s="201"/>
      <c r="G940" s="204"/>
      <c r="H940" s="201"/>
    </row>
    <row r="941">
      <c r="A941" s="201"/>
      <c r="B941" s="201"/>
      <c r="C941" s="201"/>
      <c r="D941" s="201"/>
      <c r="E941" s="202"/>
      <c r="F941" s="201"/>
      <c r="G941" s="204"/>
      <c r="H941" s="201"/>
    </row>
    <row r="942">
      <c r="A942" s="201"/>
      <c r="B942" s="201"/>
      <c r="C942" s="201"/>
      <c r="D942" s="201"/>
      <c r="E942" s="202"/>
      <c r="F942" s="201"/>
      <c r="G942" s="204"/>
      <c r="H942" s="201"/>
    </row>
    <row r="943">
      <c r="A943" s="201"/>
      <c r="B943" s="201"/>
      <c r="C943" s="201"/>
      <c r="D943" s="201"/>
      <c r="E943" s="202"/>
      <c r="F943" s="201"/>
      <c r="G943" s="204"/>
      <c r="H943" s="201"/>
    </row>
    <row r="944">
      <c r="A944" s="201"/>
      <c r="B944" s="201"/>
      <c r="C944" s="201"/>
      <c r="D944" s="201"/>
      <c r="E944" s="202"/>
      <c r="F944" s="201"/>
      <c r="G944" s="204"/>
      <c r="H944" s="201"/>
    </row>
    <row r="945">
      <c r="A945" s="201"/>
      <c r="B945" s="201"/>
      <c r="C945" s="201"/>
      <c r="D945" s="201"/>
      <c r="E945" s="202"/>
      <c r="F945" s="201"/>
      <c r="G945" s="204"/>
      <c r="H945" s="201"/>
    </row>
    <row r="946">
      <c r="A946" s="201"/>
      <c r="B946" s="201"/>
      <c r="C946" s="201"/>
      <c r="D946" s="201"/>
      <c r="E946" s="202"/>
      <c r="F946" s="201"/>
      <c r="G946" s="204"/>
      <c r="H946" s="201"/>
    </row>
    <row r="947">
      <c r="A947" s="201"/>
      <c r="B947" s="201"/>
      <c r="C947" s="201"/>
      <c r="D947" s="201"/>
      <c r="E947" s="202"/>
      <c r="F947" s="201"/>
      <c r="G947" s="204"/>
      <c r="H947" s="201"/>
    </row>
    <row r="948">
      <c r="A948" s="201"/>
      <c r="B948" s="201"/>
      <c r="C948" s="201"/>
      <c r="D948" s="201"/>
      <c r="E948" s="202"/>
      <c r="F948" s="201"/>
      <c r="G948" s="204"/>
      <c r="H948" s="201"/>
    </row>
    <row r="949">
      <c r="A949" s="201"/>
      <c r="B949" s="201"/>
      <c r="C949" s="201"/>
      <c r="D949" s="201"/>
      <c r="E949" s="202"/>
      <c r="F949" s="201"/>
      <c r="G949" s="204"/>
      <c r="H949" s="201"/>
    </row>
    <row r="950">
      <c r="A950" s="201"/>
      <c r="B950" s="201"/>
      <c r="C950" s="201"/>
      <c r="D950" s="201"/>
      <c r="E950" s="202"/>
      <c r="F950" s="201"/>
      <c r="G950" s="204"/>
      <c r="H950" s="201"/>
    </row>
    <row r="951">
      <c r="A951" s="201"/>
      <c r="B951" s="201"/>
      <c r="C951" s="201"/>
      <c r="D951" s="201"/>
      <c r="E951" s="202"/>
      <c r="F951" s="201"/>
      <c r="G951" s="204"/>
      <c r="H951" s="201"/>
    </row>
    <row r="952">
      <c r="A952" s="201"/>
      <c r="B952" s="201"/>
      <c r="C952" s="201"/>
      <c r="D952" s="201"/>
      <c r="E952" s="202"/>
      <c r="F952" s="201"/>
      <c r="G952" s="204"/>
      <c r="H952" s="201"/>
    </row>
    <row r="953">
      <c r="A953" s="201"/>
      <c r="B953" s="201"/>
      <c r="C953" s="201"/>
      <c r="D953" s="201"/>
      <c r="E953" s="202"/>
      <c r="F953" s="201"/>
      <c r="G953" s="204"/>
      <c r="H953" s="201"/>
    </row>
    <row r="954">
      <c r="A954" s="201"/>
      <c r="B954" s="201"/>
      <c r="C954" s="201"/>
      <c r="D954" s="201"/>
      <c r="E954" s="202"/>
      <c r="F954" s="201"/>
      <c r="G954" s="204"/>
      <c r="H954" s="201"/>
    </row>
    <row r="955">
      <c r="A955" s="201"/>
      <c r="B955" s="201"/>
      <c r="C955" s="201"/>
      <c r="D955" s="201"/>
      <c r="E955" s="202"/>
      <c r="F955" s="201"/>
      <c r="G955" s="204"/>
      <c r="H955" s="201"/>
    </row>
    <row r="956">
      <c r="A956" s="201"/>
      <c r="B956" s="201"/>
      <c r="C956" s="201"/>
      <c r="D956" s="201"/>
      <c r="E956" s="202"/>
      <c r="F956" s="201"/>
      <c r="G956" s="204"/>
      <c r="H956" s="201"/>
    </row>
    <row r="957">
      <c r="A957" s="201"/>
      <c r="B957" s="201"/>
      <c r="C957" s="201"/>
      <c r="D957" s="201"/>
      <c r="E957" s="202"/>
      <c r="F957" s="201"/>
      <c r="G957" s="204"/>
      <c r="H957" s="201"/>
    </row>
    <row r="958">
      <c r="A958" s="201"/>
      <c r="B958" s="201"/>
      <c r="C958" s="201"/>
      <c r="D958" s="201"/>
      <c r="E958" s="202"/>
      <c r="F958" s="201"/>
      <c r="G958" s="204"/>
      <c r="H958" s="201"/>
    </row>
    <row r="959">
      <c r="A959" s="201"/>
      <c r="B959" s="201"/>
      <c r="C959" s="201"/>
      <c r="D959" s="201"/>
      <c r="E959" s="202"/>
      <c r="F959" s="201"/>
      <c r="G959" s="204"/>
      <c r="H959" s="201"/>
    </row>
    <row r="960">
      <c r="A960" s="201"/>
      <c r="B960" s="201"/>
      <c r="C960" s="201"/>
      <c r="D960" s="201"/>
      <c r="E960" s="202"/>
      <c r="F960" s="201"/>
      <c r="G960" s="204"/>
      <c r="H960" s="201"/>
    </row>
    <row r="961">
      <c r="A961" s="201"/>
      <c r="B961" s="201"/>
      <c r="C961" s="201"/>
      <c r="D961" s="201"/>
      <c r="E961" s="202"/>
      <c r="F961" s="201"/>
      <c r="G961" s="204"/>
      <c r="H961" s="201"/>
    </row>
    <row r="962">
      <c r="A962" s="201"/>
      <c r="B962" s="201"/>
      <c r="C962" s="201"/>
      <c r="D962" s="201"/>
      <c r="E962" s="202"/>
      <c r="F962" s="201"/>
      <c r="G962" s="204"/>
      <c r="H962" s="201"/>
    </row>
    <row r="963">
      <c r="A963" s="201"/>
      <c r="B963" s="201"/>
      <c r="C963" s="201"/>
      <c r="D963" s="201"/>
      <c r="E963" s="202"/>
      <c r="F963" s="201"/>
      <c r="G963" s="204"/>
      <c r="H963" s="201"/>
    </row>
    <row r="964">
      <c r="A964" s="201"/>
      <c r="B964" s="201"/>
      <c r="C964" s="201"/>
      <c r="D964" s="201"/>
      <c r="E964" s="202"/>
      <c r="F964" s="201"/>
      <c r="G964" s="204"/>
      <c r="H964" s="201"/>
    </row>
    <row r="965">
      <c r="A965" s="201"/>
      <c r="B965" s="201"/>
      <c r="C965" s="201"/>
      <c r="D965" s="201"/>
      <c r="E965" s="202"/>
      <c r="F965" s="201"/>
      <c r="G965" s="204"/>
      <c r="H965" s="201"/>
    </row>
    <row r="966">
      <c r="A966" s="201"/>
      <c r="B966" s="201"/>
      <c r="C966" s="201"/>
      <c r="D966" s="201"/>
      <c r="E966" s="202"/>
      <c r="F966" s="201"/>
      <c r="G966" s="204"/>
      <c r="H966" s="201"/>
    </row>
    <row r="967">
      <c r="A967" s="201"/>
      <c r="B967" s="201"/>
      <c r="C967" s="201"/>
      <c r="D967" s="201"/>
      <c r="E967" s="202"/>
      <c r="F967" s="201"/>
      <c r="G967" s="204"/>
      <c r="H967" s="201"/>
    </row>
    <row r="968">
      <c r="A968" s="201"/>
      <c r="B968" s="201"/>
      <c r="C968" s="201"/>
      <c r="D968" s="201"/>
      <c r="E968" s="202"/>
      <c r="F968" s="201"/>
      <c r="G968" s="204"/>
      <c r="H968" s="201"/>
    </row>
    <row r="969">
      <c r="A969" s="201"/>
      <c r="B969" s="201"/>
      <c r="C969" s="201"/>
      <c r="D969" s="201"/>
      <c r="E969" s="202"/>
      <c r="F969" s="201"/>
      <c r="G969" s="204"/>
      <c r="H969" s="201"/>
    </row>
    <row r="970">
      <c r="A970" s="201"/>
      <c r="B970" s="201"/>
      <c r="C970" s="201"/>
      <c r="D970" s="201"/>
      <c r="E970" s="202"/>
      <c r="F970" s="201"/>
      <c r="G970" s="204"/>
      <c r="H970" s="201"/>
    </row>
    <row r="971">
      <c r="A971" s="201"/>
      <c r="B971" s="201"/>
      <c r="C971" s="201"/>
      <c r="D971" s="201"/>
      <c r="E971" s="202"/>
      <c r="F971" s="201"/>
      <c r="G971" s="204"/>
      <c r="H971" s="201"/>
    </row>
    <row r="972">
      <c r="A972" s="201"/>
      <c r="B972" s="201"/>
      <c r="C972" s="201"/>
      <c r="D972" s="201"/>
      <c r="E972" s="202"/>
      <c r="F972" s="201"/>
      <c r="G972" s="204"/>
      <c r="H972" s="201"/>
    </row>
    <row r="973">
      <c r="A973" s="201"/>
      <c r="B973" s="201"/>
      <c r="C973" s="201"/>
      <c r="D973" s="201"/>
      <c r="E973" s="202"/>
      <c r="F973" s="201"/>
      <c r="G973" s="204"/>
      <c r="H973" s="201"/>
    </row>
    <row r="974">
      <c r="A974" s="201"/>
      <c r="B974" s="201"/>
      <c r="C974" s="201"/>
      <c r="D974" s="201"/>
      <c r="E974" s="202"/>
      <c r="F974" s="201"/>
      <c r="G974" s="204"/>
      <c r="H974" s="201"/>
    </row>
    <row r="975">
      <c r="A975" s="201"/>
      <c r="B975" s="201"/>
      <c r="C975" s="201"/>
      <c r="D975" s="201"/>
      <c r="E975" s="202"/>
      <c r="F975" s="201"/>
      <c r="G975" s="204"/>
      <c r="H975" s="201"/>
    </row>
    <row r="976">
      <c r="A976" s="201"/>
      <c r="B976" s="201"/>
      <c r="C976" s="201"/>
      <c r="D976" s="201"/>
      <c r="E976" s="202"/>
      <c r="F976" s="201"/>
      <c r="G976" s="204"/>
      <c r="H976" s="201"/>
    </row>
    <row r="977">
      <c r="A977" s="201"/>
      <c r="B977" s="201"/>
      <c r="C977" s="201"/>
      <c r="D977" s="201"/>
      <c r="E977" s="202"/>
      <c r="F977" s="201"/>
      <c r="G977" s="204"/>
      <c r="H977" s="201"/>
    </row>
    <row r="978">
      <c r="A978" s="201"/>
      <c r="B978" s="201"/>
      <c r="C978" s="201"/>
      <c r="D978" s="201"/>
      <c r="E978" s="202"/>
      <c r="F978" s="201"/>
      <c r="G978" s="204"/>
      <c r="H978" s="201"/>
    </row>
    <row r="979">
      <c r="A979" s="201"/>
      <c r="B979" s="201"/>
      <c r="C979" s="201"/>
      <c r="D979" s="201"/>
      <c r="E979" s="202"/>
      <c r="F979" s="201"/>
      <c r="G979" s="204"/>
      <c r="H979" s="201"/>
    </row>
    <row r="980">
      <c r="A980" s="201"/>
      <c r="B980" s="201"/>
      <c r="C980" s="201"/>
      <c r="D980" s="201"/>
      <c r="E980" s="202"/>
      <c r="F980" s="201"/>
      <c r="G980" s="204"/>
      <c r="H980" s="201"/>
    </row>
    <row r="981">
      <c r="A981" s="201"/>
      <c r="B981" s="201"/>
      <c r="C981" s="201"/>
      <c r="D981" s="201"/>
      <c r="E981" s="202"/>
      <c r="F981" s="201"/>
      <c r="G981" s="204"/>
      <c r="H981" s="201"/>
    </row>
    <row r="982">
      <c r="A982" s="201"/>
      <c r="B982" s="201"/>
      <c r="C982" s="201"/>
      <c r="D982" s="201"/>
      <c r="E982" s="202"/>
      <c r="F982" s="201"/>
      <c r="G982" s="204"/>
      <c r="H982" s="201"/>
    </row>
    <row r="983">
      <c r="A983" s="201"/>
      <c r="B983" s="201"/>
      <c r="C983" s="201"/>
      <c r="D983" s="201"/>
      <c r="E983" s="202"/>
      <c r="F983" s="201"/>
      <c r="G983" s="204"/>
      <c r="H983" s="201"/>
    </row>
    <row r="984">
      <c r="A984" s="201"/>
      <c r="B984" s="201"/>
      <c r="C984" s="201"/>
      <c r="D984" s="201"/>
      <c r="E984" s="202"/>
      <c r="F984" s="201"/>
      <c r="G984" s="204"/>
      <c r="H984" s="201"/>
    </row>
    <row r="985">
      <c r="A985" s="201"/>
      <c r="B985" s="201"/>
      <c r="C985" s="201"/>
      <c r="D985" s="201"/>
      <c r="E985" s="202"/>
      <c r="F985" s="201"/>
      <c r="G985" s="204"/>
      <c r="H985" s="201"/>
    </row>
    <row r="986">
      <c r="A986" s="201"/>
      <c r="B986" s="201"/>
      <c r="C986" s="201"/>
      <c r="D986" s="201"/>
      <c r="E986" s="202"/>
      <c r="F986" s="201"/>
      <c r="G986" s="204"/>
      <c r="H986" s="201"/>
    </row>
    <row r="987">
      <c r="A987" s="201"/>
      <c r="B987" s="201"/>
      <c r="C987" s="201"/>
      <c r="D987" s="201"/>
      <c r="E987" s="202"/>
      <c r="F987" s="201"/>
      <c r="G987" s="204"/>
      <c r="H987" s="201"/>
    </row>
    <row r="988">
      <c r="A988" s="201"/>
      <c r="B988" s="201"/>
      <c r="C988" s="201"/>
      <c r="D988" s="201"/>
      <c r="E988" s="202"/>
      <c r="F988" s="201"/>
      <c r="G988" s="204"/>
      <c r="H988" s="201"/>
    </row>
    <row r="989">
      <c r="A989" s="201"/>
      <c r="B989" s="201"/>
      <c r="C989" s="201"/>
      <c r="D989" s="201"/>
      <c r="E989" s="202"/>
      <c r="F989" s="201"/>
      <c r="G989" s="204"/>
      <c r="H989" s="201"/>
    </row>
    <row r="990">
      <c r="A990" s="201"/>
      <c r="B990" s="201"/>
      <c r="C990" s="201"/>
      <c r="D990" s="201"/>
      <c r="E990" s="202"/>
      <c r="F990" s="201"/>
      <c r="G990" s="204"/>
      <c r="H990" s="201"/>
    </row>
    <row r="991">
      <c r="A991" s="201"/>
      <c r="B991" s="201"/>
      <c r="C991" s="201"/>
      <c r="D991" s="201"/>
      <c r="E991" s="202"/>
      <c r="F991" s="201"/>
      <c r="G991" s="204"/>
      <c r="H991" s="201"/>
    </row>
    <row r="992">
      <c r="A992" s="201"/>
      <c r="B992" s="201"/>
      <c r="C992" s="201"/>
      <c r="D992" s="201"/>
      <c r="E992" s="202"/>
      <c r="F992" s="201"/>
      <c r="G992" s="204"/>
      <c r="H992" s="201"/>
    </row>
    <row r="993">
      <c r="A993" s="201"/>
      <c r="B993" s="201"/>
      <c r="C993" s="201"/>
      <c r="D993" s="201"/>
      <c r="E993" s="202"/>
      <c r="F993" s="201"/>
      <c r="G993" s="204"/>
      <c r="H993" s="201"/>
    </row>
    <row r="994">
      <c r="A994" s="201"/>
      <c r="B994" s="201"/>
      <c r="C994" s="201"/>
      <c r="D994" s="201"/>
      <c r="E994" s="202"/>
      <c r="F994" s="201"/>
      <c r="G994" s="204"/>
      <c r="H994" s="201"/>
    </row>
    <row r="995">
      <c r="A995" s="201"/>
      <c r="B995" s="201"/>
      <c r="C995" s="201"/>
      <c r="D995" s="201"/>
      <c r="E995" s="202"/>
      <c r="F995" s="201"/>
      <c r="G995" s="204"/>
      <c r="H995" s="201"/>
    </row>
    <row r="996">
      <c r="A996" s="201"/>
      <c r="B996" s="201"/>
      <c r="C996" s="201"/>
      <c r="D996" s="201"/>
      <c r="E996" s="202"/>
      <c r="F996" s="201"/>
      <c r="G996" s="204"/>
      <c r="H996" s="201"/>
    </row>
    <row r="997">
      <c r="A997" s="201"/>
      <c r="B997" s="201"/>
      <c r="C997" s="201"/>
      <c r="D997" s="201"/>
      <c r="E997" s="202"/>
      <c r="F997" s="201"/>
      <c r="G997" s="204"/>
      <c r="H997" s="201"/>
    </row>
    <row r="998">
      <c r="A998" s="201"/>
      <c r="B998" s="201"/>
      <c r="C998" s="201"/>
      <c r="D998" s="201"/>
      <c r="E998" s="202"/>
      <c r="F998" s="201"/>
      <c r="G998" s="204"/>
      <c r="H998" s="201"/>
    </row>
    <row r="999">
      <c r="A999" s="201"/>
      <c r="B999" s="201"/>
      <c r="C999" s="201"/>
      <c r="D999" s="201"/>
      <c r="E999" s="202"/>
      <c r="F999" s="201"/>
      <c r="G999" s="204"/>
      <c r="H999" s="201"/>
    </row>
    <row r="1000">
      <c r="A1000" s="201"/>
      <c r="B1000" s="201"/>
      <c r="C1000" s="201"/>
      <c r="D1000" s="201"/>
      <c r="E1000" s="202"/>
      <c r="F1000" s="201"/>
      <c r="G1000" s="204"/>
      <c r="H1000" s="201"/>
    </row>
    <row r="1001">
      <c r="A1001" s="201"/>
      <c r="B1001" s="201"/>
      <c r="C1001" s="201"/>
      <c r="D1001" s="201"/>
      <c r="E1001" s="202"/>
      <c r="F1001" s="201"/>
      <c r="G1001" s="204"/>
      <c r="H1001" s="201"/>
    </row>
    <row r="1002">
      <c r="A1002" s="201"/>
      <c r="B1002" s="201"/>
      <c r="C1002" s="201"/>
      <c r="D1002" s="201"/>
      <c r="E1002" s="202"/>
      <c r="F1002" s="201"/>
      <c r="G1002" s="204"/>
      <c r="H1002" s="201"/>
    </row>
    <row r="1003">
      <c r="A1003" s="201"/>
      <c r="B1003" s="201"/>
      <c r="C1003" s="201"/>
      <c r="D1003" s="201"/>
      <c r="E1003" s="202"/>
      <c r="F1003" s="201"/>
      <c r="G1003" s="204"/>
      <c r="H1003" s="201"/>
    </row>
    <row r="1004">
      <c r="A1004" s="201"/>
      <c r="B1004" s="201"/>
      <c r="C1004" s="201"/>
      <c r="D1004" s="201"/>
      <c r="E1004" s="202"/>
      <c r="F1004" s="201"/>
      <c r="G1004" s="204"/>
      <c r="H1004" s="201"/>
    </row>
    <row r="1005">
      <c r="A1005" s="201"/>
      <c r="B1005" s="201"/>
      <c r="C1005" s="201"/>
      <c r="D1005" s="201"/>
      <c r="E1005" s="202"/>
      <c r="F1005" s="201"/>
      <c r="G1005" s="204"/>
      <c r="H1005" s="201"/>
    </row>
    <row r="1006">
      <c r="A1006" s="201"/>
      <c r="B1006" s="201"/>
      <c r="C1006" s="201"/>
      <c r="D1006" s="201"/>
      <c r="E1006" s="202"/>
      <c r="F1006" s="201"/>
      <c r="G1006" s="204"/>
      <c r="H1006" s="201"/>
    </row>
    <row r="1007">
      <c r="A1007" s="201"/>
      <c r="B1007" s="201"/>
      <c r="C1007" s="201"/>
      <c r="D1007" s="201"/>
      <c r="E1007" s="202"/>
      <c r="F1007" s="201"/>
      <c r="G1007" s="204"/>
      <c r="H1007" s="201"/>
    </row>
    <row r="1008">
      <c r="A1008" s="201"/>
      <c r="B1008" s="201"/>
      <c r="C1008" s="201"/>
      <c r="D1008" s="201"/>
      <c r="E1008" s="202"/>
      <c r="F1008" s="201"/>
      <c r="G1008" s="204"/>
      <c r="H1008" s="201"/>
    </row>
    <row r="1009">
      <c r="A1009" s="201"/>
      <c r="B1009" s="201"/>
      <c r="C1009" s="201"/>
      <c r="D1009" s="201"/>
      <c r="E1009" s="202"/>
      <c r="F1009" s="201"/>
      <c r="G1009" s="204"/>
      <c r="H1009" s="201"/>
    </row>
    <row r="1010">
      <c r="A1010" s="201"/>
      <c r="B1010" s="201"/>
      <c r="C1010" s="201"/>
      <c r="D1010" s="201"/>
      <c r="E1010" s="202"/>
      <c r="F1010" s="201"/>
      <c r="G1010" s="204"/>
      <c r="H1010" s="201"/>
    </row>
    <row r="1011">
      <c r="A1011" s="201"/>
      <c r="B1011" s="201"/>
      <c r="C1011" s="201"/>
      <c r="D1011" s="201"/>
      <c r="E1011" s="202"/>
      <c r="F1011" s="201"/>
      <c r="G1011" s="204"/>
      <c r="H1011" s="201"/>
    </row>
    <row r="1012">
      <c r="A1012" s="201"/>
      <c r="B1012" s="201"/>
      <c r="C1012" s="201"/>
      <c r="D1012" s="201"/>
      <c r="E1012" s="202"/>
      <c r="F1012" s="201"/>
      <c r="G1012" s="204"/>
      <c r="H1012" s="201"/>
    </row>
    <row r="1013">
      <c r="A1013" s="201"/>
      <c r="B1013" s="201"/>
      <c r="C1013" s="201"/>
      <c r="D1013" s="201"/>
      <c r="E1013" s="202"/>
      <c r="F1013" s="201"/>
      <c r="G1013" s="204"/>
      <c r="H1013" s="201"/>
    </row>
    <row r="1014">
      <c r="A1014" s="201"/>
      <c r="B1014" s="201"/>
      <c r="C1014" s="201"/>
      <c r="D1014" s="201"/>
      <c r="E1014" s="202"/>
      <c r="F1014" s="201"/>
      <c r="G1014" s="204"/>
      <c r="H1014" s="201"/>
    </row>
    <row r="1015">
      <c r="A1015" s="201"/>
      <c r="B1015" s="201"/>
      <c r="C1015" s="201"/>
      <c r="D1015" s="201"/>
      <c r="E1015" s="202"/>
      <c r="F1015" s="201"/>
      <c r="G1015" s="204"/>
      <c r="H1015" s="201"/>
    </row>
    <row r="1016">
      <c r="A1016" s="201"/>
      <c r="B1016" s="201"/>
      <c r="C1016" s="201"/>
      <c r="D1016" s="201"/>
      <c r="E1016" s="202"/>
      <c r="F1016" s="201"/>
      <c r="G1016" s="204"/>
      <c r="H1016" s="201"/>
    </row>
  </sheetData>
  <hyperlinks>
    <hyperlink r:id="rId1" ref="F2"/>
    <hyperlink r:id="rId2" ref="F3"/>
    <hyperlink r:id="rId3" ref="F4"/>
    <hyperlink r:id="rId4" ref="E14"/>
  </hyperlinks>
  <drawing r:id="rId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3"/>
    <col customWidth="1" min="2" max="2" width="27.13"/>
    <col customWidth="1" min="3" max="3" width="33.25"/>
    <col customWidth="1" min="4" max="4" width="33.13"/>
    <col customWidth="1" min="5" max="5" width="15.75"/>
    <col customWidth="1" min="6" max="6" width="30.25"/>
    <col customWidth="1" min="7" max="7" width="6.63"/>
    <col customWidth="1" min="8" max="8" width="18.88"/>
  </cols>
  <sheetData>
    <row r="1">
      <c r="A1" s="5" t="s">
        <v>1</v>
      </c>
      <c r="B1" s="5" t="s">
        <v>5</v>
      </c>
      <c r="C1" s="5" t="s">
        <v>7</v>
      </c>
      <c r="D1" s="5" t="s">
        <v>8</v>
      </c>
      <c r="E1" s="5" t="s">
        <v>9</v>
      </c>
      <c r="F1" s="5" t="s">
        <v>10</v>
      </c>
      <c r="G1" s="8" t="s">
        <v>11</v>
      </c>
      <c r="H1" s="8" t="s">
        <v>12</v>
      </c>
      <c r="I1" s="91"/>
      <c r="J1" s="91"/>
    </row>
    <row r="2" ht="30.0" customHeight="1">
      <c r="A2" s="150">
        <v>5.1</v>
      </c>
      <c r="B2" s="25" t="s">
        <v>332</v>
      </c>
      <c r="C2" s="25" t="s">
        <v>333</v>
      </c>
      <c r="D2" s="25" t="s">
        <v>334</v>
      </c>
      <c r="E2" s="25" t="s">
        <v>335</v>
      </c>
      <c r="F2" s="94" t="s">
        <v>42</v>
      </c>
      <c r="G2" s="154">
        <v>1.0</v>
      </c>
      <c r="H2" s="155"/>
      <c r="I2" s="156"/>
      <c r="J2" s="156"/>
    </row>
    <row r="3">
      <c r="A3" s="157">
        <v>5.2</v>
      </c>
      <c r="B3" s="12" t="s">
        <v>345</v>
      </c>
      <c r="C3" s="12" t="s">
        <v>347</v>
      </c>
      <c r="D3" s="12" t="s">
        <v>348</v>
      </c>
      <c r="E3" s="12" t="s">
        <v>349</v>
      </c>
      <c r="F3" s="12"/>
      <c r="G3" s="159">
        <v>2.0</v>
      </c>
      <c r="H3" s="159" t="s">
        <v>351</v>
      </c>
      <c r="I3" s="161"/>
      <c r="J3" s="161"/>
    </row>
    <row r="4">
      <c r="A4" s="163">
        <v>5.3</v>
      </c>
      <c r="B4" s="165" t="s">
        <v>353</v>
      </c>
      <c r="C4" s="165" t="s">
        <v>355</v>
      </c>
      <c r="D4" s="165" t="s">
        <v>356</v>
      </c>
      <c r="E4" s="165" t="s">
        <v>335</v>
      </c>
      <c r="F4" s="168"/>
      <c r="G4" s="171">
        <v>3.0</v>
      </c>
      <c r="H4" s="174" t="s">
        <v>361</v>
      </c>
      <c r="I4" s="91"/>
      <c r="J4" s="91"/>
    </row>
    <row r="5">
      <c r="A5" s="163">
        <v>5.4</v>
      </c>
      <c r="B5" s="165" t="s">
        <v>369</v>
      </c>
      <c r="C5" s="165" t="s">
        <v>371</v>
      </c>
      <c r="D5" s="165" t="s">
        <v>372</v>
      </c>
      <c r="E5" s="165" t="s">
        <v>374</v>
      </c>
      <c r="F5" s="168"/>
      <c r="G5" s="171">
        <v>4.0</v>
      </c>
      <c r="H5" s="174"/>
      <c r="I5" s="91"/>
      <c r="J5" s="91"/>
    </row>
    <row r="6">
      <c r="A6" s="175">
        <v>5.5</v>
      </c>
      <c r="B6" s="64" t="s">
        <v>384</v>
      </c>
      <c r="C6" s="64" t="s">
        <v>385</v>
      </c>
      <c r="D6" s="64" t="s">
        <v>386</v>
      </c>
      <c r="E6" s="64" t="s">
        <v>387</v>
      </c>
      <c r="F6" s="177"/>
      <c r="G6" s="179">
        <v>5.0</v>
      </c>
      <c r="H6" s="180"/>
      <c r="I6" s="91"/>
      <c r="J6" s="91"/>
    </row>
    <row r="7">
      <c r="A7" s="157">
        <v>5.6</v>
      </c>
      <c r="B7" s="12" t="s">
        <v>394</v>
      </c>
      <c r="C7" s="12" t="s">
        <v>395</v>
      </c>
      <c r="D7" s="12" t="s">
        <v>397</v>
      </c>
      <c r="E7" s="12" t="s">
        <v>398</v>
      </c>
      <c r="F7" s="183"/>
      <c r="G7" s="159">
        <v>6.0</v>
      </c>
      <c r="H7" s="184"/>
      <c r="I7" s="186"/>
      <c r="J7" s="91"/>
    </row>
    <row r="8">
      <c r="A8" s="175"/>
      <c r="B8" s="91"/>
      <c r="C8" s="91"/>
      <c r="D8" s="91"/>
      <c r="E8" s="91"/>
      <c r="F8" s="91"/>
      <c r="G8" s="188"/>
      <c r="H8" s="189"/>
      <c r="I8" s="91"/>
      <c r="J8" s="91"/>
    </row>
    <row r="9">
      <c r="A9" s="192"/>
      <c r="B9" s="149"/>
      <c r="C9" s="149"/>
      <c r="D9" s="149"/>
      <c r="E9" s="149"/>
      <c r="F9" s="149"/>
      <c r="G9" s="195"/>
      <c r="H9" s="197"/>
      <c r="I9" s="149"/>
      <c r="J9" s="149"/>
    </row>
    <row r="10">
      <c r="A10" s="149"/>
      <c r="B10" s="149"/>
      <c r="C10" s="149"/>
      <c r="D10" s="149"/>
      <c r="E10" s="149"/>
      <c r="F10" s="149"/>
      <c r="G10" s="197"/>
      <c r="H10" s="197"/>
      <c r="I10" s="149"/>
      <c r="J10" s="149"/>
    </row>
  </sheetData>
  <hyperlinks>
    <hyperlink r:id="rId1" ref="F2"/>
  </hyperlink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63"/>
    <col customWidth="1" min="2" max="2" width="26.38"/>
    <col customWidth="1" min="3" max="3" width="55.38"/>
    <col customWidth="1" min="4" max="4" width="56.0"/>
    <col customWidth="1" min="5" max="5" width="23.13"/>
    <col customWidth="1" min="6" max="6" width="23.5"/>
    <col customWidth="1" min="7" max="7" width="9.5"/>
    <col customWidth="1" min="8" max="8" width="46.38"/>
  </cols>
  <sheetData>
    <row r="1" ht="24.75" customHeight="1">
      <c r="A1" s="8" t="s">
        <v>1</v>
      </c>
      <c r="B1" s="8" t="s">
        <v>5</v>
      </c>
      <c r="C1" s="8" t="s">
        <v>7</v>
      </c>
      <c r="D1" s="8" t="s">
        <v>8</v>
      </c>
      <c r="E1" s="8" t="s">
        <v>9</v>
      </c>
      <c r="F1" s="5" t="s">
        <v>10</v>
      </c>
      <c r="G1" s="8" t="s">
        <v>11</v>
      </c>
      <c r="H1" s="8" t="s">
        <v>12</v>
      </c>
    </row>
    <row r="2">
      <c r="A2" s="150">
        <v>7.1</v>
      </c>
      <c r="B2" s="25" t="s">
        <v>341</v>
      </c>
      <c r="C2" s="25" t="s">
        <v>342</v>
      </c>
      <c r="D2" s="25" t="s">
        <v>343</v>
      </c>
      <c r="E2" s="158" t="s">
        <v>344</v>
      </c>
      <c r="F2" s="167" t="s">
        <v>346</v>
      </c>
      <c r="G2" s="169">
        <v>1.0</v>
      </c>
      <c r="H2" s="172" t="s">
        <v>360</v>
      </c>
    </row>
    <row r="3">
      <c r="A3" s="150">
        <v>7.2</v>
      </c>
      <c r="B3" s="25" t="s">
        <v>362</v>
      </c>
      <c r="C3" s="25" t="s">
        <v>363</v>
      </c>
      <c r="D3" s="25" t="s">
        <v>365</v>
      </c>
      <c r="E3" s="158" t="s">
        <v>344</v>
      </c>
      <c r="F3" s="25" t="s">
        <v>368</v>
      </c>
      <c r="G3" s="169">
        <v>2.0</v>
      </c>
      <c r="H3" s="172" t="s">
        <v>370</v>
      </c>
    </row>
    <row r="4">
      <c r="A4" s="175">
        <v>7.3</v>
      </c>
      <c r="B4" s="64" t="s">
        <v>377</v>
      </c>
      <c r="C4" s="64" t="s">
        <v>378</v>
      </c>
      <c r="D4" s="64" t="s">
        <v>380</v>
      </c>
      <c r="E4" s="176" t="s">
        <v>383</v>
      </c>
      <c r="F4" s="185" t="s">
        <v>391</v>
      </c>
      <c r="G4" s="180">
        <v>3.0</v>
      </c>
      <c r="H4" s="187" t="s">
        <v>414</v>
      </c>
    </row>
    <row r="5">
      <c r="A5" s="150">
        <v>7.5</v>
      </c>
      <c r="B5" s="25" t="s">
        <v>418</v>
      </c>
      <c r="C5" s="25" t="s">
        <v>419</v>
      </c>
      <c r="D5" s="25" t="s">
        <v>420</v>
      </c>
      <c r="E5" s="191" t="s">
        <v>21</v>
      </c>
      <c r="F5" s="25" t="s">
        <v>423</v>
      </c>
      <c r="G5" s="169">
        <v>5.0</v>
      </c>
      <c r="H5" s="172" t="s">
        <v>424</v>
      </c>
    </row>
    <row r="6">
      <c r="A6" s="150">
        <v>7.6</v>
      </c>
      <c r="B6" s="25" t="s">
        <v>425</v>
      </c>
      <c r="C6" s="25" t="s">
        <v>426</v>
      </c>
      <c r="D6" s="25" t="s">
        <v>427</v>
      </c>
      <c r="E6" s="193" t="s">
        <v>172</v>
      </c>
      <c r="F6" s="25" t="s">
        <v>428</v>
      </c>
      <c r="G6" s="169">
        <v>6.0</v>
      </c>
      <c r="H6" s="172" t="s">
        <v>429</v>
      </c>
    </row>
    <row r="7">
      <c r="A7" s="150">
        <v>7.7</v>
      </c>
      <c r="B7" s="25" t="s">
        <v>430</v>
      </c>
      <c r="C7" s="25" t="s">
        <v>431</v>
      </c>
      <c r="D7" s="25" t="s">
        <v>432</v>
      </c>
      <c r="E7" s="191" t="s">
        <v>433</v>
      </c>
      <c r="F7" s="198"/>
      <c r="G7" s="169">
        <v>7.0</v>
      </c>
      <c r="H7" s="172" t="s">
        <v>434</v>
      </c>
    </row>
    <row r="8">
      <c r="A8" s="150">
        <v>7.8</v>
      </c>
      <c r="B8" s="25" t="s">
        <v>435</v>
      </c>
      <c r="C8" s="25" t="s">
        <v>436</v>
      </c>
      <c r="D8" s="25" t="s">
        <v>437</v>
      </c>
      <c r="E8" s="158" t="s">
        <v>438</v>
      </c>
      <c r="F8" s="25" t="s">
        <v>439</v>
      </c>
      <c r="G8" s="169">
        <v>9.0</v>
      </c>
      <c r="H8" s="172" t="s">
        <v>440</v>
      </c>
    </row>
    <row r="9">
      <c r="A9" s="150">
        <v>7.9</v>
      </c>
      <c r="B9" s="25" t="s">
        <v>441</v>
      </c>
      <c r="C9" s="25" t="s">
        <v>442</v>
      </c>
      <c r="D9" s="25" t="s">
        <v>443</v>
      </c>
      <c r="E9" s="167" t="s">
        <v>444</v>
      </c>
      <c r="F9" s="25" t="s">
        <v>447</v>
      </c>
      <c r="G9" s="169">
        <v>10.0</v>
      </c>
      <c r="H9" s="172" t="s">
        <v>448</v>
      </c>
    </row>
    <row r="10">
      <c r="A10" s="175">
        <v>7.91</v>
      </c>
      <c r="B10" s="64" t="s">
        <v>449</v>
      </c>
      <c r="C10" s="64" t="s">
        <v>450</v>
      </c>
      <c r="D10" s="64" t="s">
        <v>451</v>
      </c>
      <c r="E10" s="176" t="s">
        <v>452</v>
      </c>
      <c r="F10" s="108" t="s">
        <v>453</v>
      </c>
      <c r="G10" s="180">
        <v>11.0</v>
      </c>
      <c r="H10" s="187" t="s">
        <v>455</v>
      </c>
    </row>
    <row r="11">
      <c r="A11" s="149"/>
      <c r="B11" s="91"/>
      <c r="C11" s="91"/>
      <c r="D11" s="91"/>
      <c r="E11" s="91"/>
      <c r="F11" s="91"/>
      <c r="G11" s="189"/>
      <c r="H11" s="211"/>
    </row>
    <row r="12">
      <c r="A12" s="149"/>
      <c r="B12" s="91"/>
      <c r="C12" s="91"/>
      <c r="D12" s="91"/>
      <c r="E12" s="91"/>
      <c r="F12" s="91"/>
      <c r="G12" s="189"/>
      <c r="H12" s="211"/>
    </row>
  </sheetData>
  <hyperlinks>
    <hyperlink r:id="rId1" location="gid=129223637" ref="F2"/>
    <hyperlink r:id="rId2" location="gid=0" ref="F4"/>
    <hyperlink r:id="rId3" ref="E9"/>
  </hyperlinks>
  <drawing r:id="rId4"/>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5.5"/>
    <col customWidth="1" min="2" max="2" width="18.25"/>
    <col customWidth="1" min="3" max="4" width="63.0"/>
    <col customWidth="1" min="5" max="5" width="14.13"/>
    <col customWidth="1" min="6" max="6" width="13.38"/>
    <col customWidth="1" min="7" max="7" width="6.63"/>
    <col customWidth="1" min="8" max="8" width="8.38"/>
  </cols>
  <sheetData>
    <row r="1">
      <c r="A1" s="134" t="s">
        <v>1</v>
      </c>
      <c r="B1" s="134" t="s">
        <v>5</v>
      </c>
      <c r="C1" s="134" t="s">
        <v>7</v>
      </c>
      <c r="D1" s="134" t="s">
        <v>8</v>
      </c>
      <c r="E1" s="134" t="s">
        <v>9</v>
      </c>
      <c r="F1" s="134" t="s">
        <v>217</v>
      </c>
      <c r="G1" s="138" t="s">
        <v>11</v>
      </c>
      <c r="H1" s="203"/>
    </row>
    <row r="2">
      <c r="A2" s="205">
        <v>8.1</v>
      </c>
      <c r="B2" s="206" t="s">
        <v>446</v>
      </c>
      <c r="C2" s="208" t="s">
        <v>454</v>
      </c>
      <c r="D2" s="210" t="s">
        <v>456</v>
      </c>
      <c r="E2" s="205" t="s">
        <v>130</v>
      </c>
      <c r="F2" s="213"/>
      <c r="G2" s="205">
        <v>1.0</v>
      </c>
      <c r="H2" s="19"/>
    </row>
    <row r="3">
      <c r="A3" s="205">
        <v>8.2</v>
      </c>
      <c r="B3" s="206" t="s">
        <v>457</v>
      </c>
      <c r="C3" s="208" t="s">
        <v>458</v>
      </c>
      <c r="D3" s="210" t="s">
        <v>460</v>
      </c>
      <c r="E3" s="205" t="s">
        <v>130</v>
      </c>
      <c r="F3" s="213"/>
      <c r="G3" s="205">
        <v>2.0</v>
      </c>
      <c r="H3" s="19"/>
    </row>
    <row r="4">
      <c r="A4" s="205">
        <v>8.3</v>
      </c>
      <c r="B4" s="206" t="s">
        <v>463</v>
      </c>
      <c r="C4" s="208" t="s">
        <v>464</v>
      </c>
      <c r="D4" s="210" t="s">
        <v>466</v>
      </c>
      <c r="E4" s="205" t="s">
        <v>130</v>
      </c>
      <c r="F4" s="213"/>
      <c r="G4" s="205">
        <v>3.0</v>
      </c>
      <c r="H4" s="19"/>
    </row>
    <row r="5">
      <c r="A5" s="219">
        <v>8.4</v>
      </c>
      <c r="B5" s="222" t="s">
        <v>469</v>
      </c>
      <c r="C5" s="225" t="s">
        <v>473</v>
      </c>
      <c r="D5" s="229" t="s">
        <v>475</v>
      </c>
      <c r="E5" s="219" t="s">
        <v>26</v>
      </c>
      <c r="F5" s="251" t="s">
        <v>476</v>
      </c>
      <c r="G5" s="219">
        <v>4.0</v>
      </c>
      <c r="H5" s="77"/>
    </row>
    <row r="6">
      <c r="A6" s="219">
        <v>8.5</v>
      </c>
      <c r="B6" s="222" t="s">
        <v>489</v>
      </c>
      <c r="C6" s="225" t="s">
        <v>491</v>
      </c>
      <c r="D6" s="229" t="s">
        <v>492</v>
      </c>
      <c r="E6" s="219" t="s">
        <v>26</v>
      </c>
      <c r="F6" s="256"/>
      <c r="G6" s="219">
        <v>5.0</v>
      </c>
      <c r="H6" s="77"/>
    </row>
    <row r="7">
      <c r="A7" s="219">
        <v>8.60000000000001</v>
      </c>
      <c r="B7" s="222" t="s">
        <v>494</v>
      </c>
      <c r="C7" s="225" t="s">
        <v>495</v>
      </c>
      <c r="D7" s="229" t="s">
        <v>497</v>
      </c>
      <c r="E7" s="219" t="s">
        <v>130</v>
      </c>
      <c r="F7" s="256"/>
      <c r="G7" s="219">
        <v>6.0</v>
      </c>
      <c r="H7" s="77"/>
    </row>
    <row r="8">
      <c r="A8" s="219">
        <v>8.70000000000001</v>
      </c>
      <c r="B8" s="222" t="s">
        <v>498</v>
      </c>
      <c r="C8" s="225" t="s">
        <v>499</v>
      </c>
      <c r="D8" s="229" t="s">
        <v>502</v>
      </c>
      <c r="E8" s="219" t="s">
        <v>26</v>
      </c>
      <c r="F8" s="256"/>
      <c r="G8" s="219">
        <v>7.0</v>
      </c>
      <c r="H8" s="77"/>
    </row>
    <row r="9">
      <c r="A9" s="219">
        <v>8.80000000000001</v>
      </c>
      <c r="B9" s="222" t="s">
        <v>505</v>
      </c>
      <c r="C9" s="225" t="s">
        <v>508</v>
      </c>
      <c r="D9" s="229" t="s">
        <v>510</v>
      </c>
      <c r="E9" s="219" t="s">
        <v>130</v>
      </c>
      <c r="F9" s="256"/>
      <c r="G9" s="219">
        <v>8.0</v>
      </c>
      <c r="H9" s="77"/>
    </row>
    <row r="10" ht="58.5" customHeight="1">
      <c r="A10" s="219">
        <v>8.90000000000001</v>
      </c>
      <c r="B10" s="222" t="s">
        <v>515</v>
      </c>
      <c r="C10" s="225" t="s">
        <v>516</v>
      </c>
      <c r="D10" s="229" t="s">
        <v>518</v>
      </c>
      <c r="E10" s="219" t="s">
        <v>130</v>
      </c>
      <c r="F10" s="256"/>
      <c r="G10" s="219">
        <v>9.0</v>
      </c>
      <c r="H10" s="77"/>
    </row>
    <row r="11">
      <c r="A11" s="219"/>
      <c r="B11" s="265"/>
      <c r="C11" s="219"/>
      <c r="D11" s="219"/>
      <c r="E11" s="219"/>
      <c r="F11" s="256"/>
      <c r="G11" s="219"/>
      <c r="H11" s="203"/>
    </row>
    <row r="12">
      <c r="A12" s="219"/>
      <c r="B12" s="265"/>
      <c r="C12" s="219"/>
      <c r="D12" s="219"/>
      <c r="E12" s="219"/>
      <c r="F12" s="256"/>
      <c r="G12" s="219"/>
      <c r="H12" s="203"/>
    </row>
  </sheetData>
  <hyperlinks>
    <hyperlink r:id="rId1" location="gid=547134598" ref="F5"/>
  </hyperlinks>
  <printOptions gridLines="1" horizontalCentered="1"/>
  <pageMargins bottom="0.75" footer="0.0" header="0.0" left="0.7" right="0.7" top="0.75"/>
  <pageSetup fitToHeight="0" cellComments="atEnd" orientation="landscape" pageOrder="overThenDown"/>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6.5"/>
    <col customWidth="1" min="2" max="2" width="31.5"/>
    <col customWidth="1" min="3" max="3" width="10.75"/>
    <col customWidth="1" min="4" max="5" width="12.13"/>
    <col customWidth="1" min="6" max="6" width="41.63"/>
    <col customWidth="1" min="7" max="7" width="29.75"/>
    <col customWidth="1" min="8" max="8" width="75.13"/>
    <col customWidth="1" min="9" max="9" width="20.13"/>
  </cols>
  <sheetData>
    <row r="1">
      <c r="A1" s="207" t="s">
        <v>445</v>
      </c>
      <c r="B1" s="209"/>
      <c r="C1" s="209"/>
      <c r="D1" s="209"/>
      <c r="E1" s="209"/>
      <c r="F1" s="209"/>
      <c r="G1" s="209"/>
      <c r="H1" s="212"/>
      <c r="I1" s="149"/>
    </row>
    <row r="2">
      <c r="A2" s="214"/>
      <c r="B2" s="215"/>
      <c r="C2" s="215"/>
      <c r="D2" s="215"/>
      <c r="E2" s="215"/>
      <c r="F2" s="215"/>
      <c r="G2" s="215"/>
      <c r="H2" s="216"/>
      <c r="I2" s="149"/>
    </row>
    <row r="3">
      <c r="A3" s="217" t="s">
        <v>459</v>
      </c>
      <c r="B3" s="217" t="s">
        <v>461</v>
      </c>
      <c r="C3" s="217" t="s">
        <v>462</v>
      </c>
      <c r="D3" s="217" t="s">
        <v>465</v>
      </c>
      <c r="E3" s="218" t="s">
        <v>467</v>
      </c>
      <c r="F3" s="220" t="s">
        <v>468</v>
      </c>
      <c r="G3" s="220" t="s">
        <v>470</v>
      </c>
      <c r="H3" s="220" t="s">
        <v>471</v>
      </c>
      <c r="I3" s="149"/>
    </row>
    <row r="4">
      <c r="A4" s="223">
        <v>1.0</v>
      </c>
      <c r="B4" s="227" t="s">
        <v>474</v>
      </c>
      <c r="C4" s="230">
        <v>23.0</v>
      </c>
      <c r="D4" s="232">
        <v>0.152317880794702</v>
      </c>
      <c r="E4" s="233"/>
      <c r="F4" s="234" t="s">
        <v>478</v>
      </c>
      <c r="G4" s="192" t="s">
        <v>482</v>
      </c>
      <c r="H4" s="149"/>
      <c r="I4" s="149"/>
    </row>
    <row r="5">
      <c r="A5" s="223">
        <v>2.0</v>
      </c>
      <c r="B5" s="244" t="s">
        <v>484</v>
      </c>
      <c r="C5" s="245">
        <v>10.0</v>
      </c>
      <c r="D5" s="247">
        <v>0.0662251655629139</v>
      </c>
      <c r="E5" s="249"/>
      <c r="F5" s="234" t="s">
        <v>487</v>
      </c>
      <c r="G5" s="192" t="s">
        <v>482</v>
      </c>
      <c r="H5" s="149"/>
      <c r="I5" s="149"/>
    </row>
    <row r="6">
      <c r="A6" s="223">
        <v>3.0</v>
      </c>
      <c r="B6" s="252" t="s">
        <v>488</v>
      </c>
      <c r="C6" s="253">
        <v>10.0</v>
      </c>
      <c r="D6" s="259">
        <v>0.0662251655629139</v>
      </c>
      <c r="E6" s="260" t="s">
        <v>501</v>
      </c>
      <c r="F6" s="261" t="s">
        <v>504</v>
      </c>
      <c r="G6" s="192" t="s">
        <v>507</v>
      </c>
      <c r="H6" s="149"/>
      <c r="I6" s="149"/>
    </row>
    <row r="7">
      <c r="A7" s="223">
        <v>4.0</v>
      </c>
      <c r="B7" s="262" t="s">
        <v>512</v>
      </c>
      <c r="C7" s="245">
        <v>10.0</v>
      </c>
      <c r="D7" s="247">
        <v>0.0662251655629139</v>
      </c>
      <c r="E7" s="263" t="s">
        <v>520</v>
      </c>
      <c r="F7" s="264"/>
      <c r="G7" s="192" t="s">
        <v>490</v>
      </c>
      <c r="H7" s="261" t="s">
        <v>523</v>
      </c>
      <c r="I7" s="149"/>
    </row>
    <row r="8">
      <c r="A8" s="223">
        <v>5.0</v>
      </c>
      <c r="B8" s="266" t="s">
        <v>530</v>
      </c>
      <c r="C8" s="267">
        <v>9.0</v>
      </c>
      <c r="D8" s="268">
        <v>0.0596026490066225</v>
      </c>
      <c r="E8" s="269"/>
      <c r="F8" s="234" t="s">
        <v>540</v>
      </c>
      <c r="G8" s="192" t="s">
        <v>526</v>
      </c>
      <c r="H8" s="149"/>
      <c r="I8" s="149"/>
    </row>
    <row r="9">
      <c r="A9" s="223">
        <v>6.0</v>
      </c>
      <c r="B9" s="270" t="s">
        <v>545</v>
      </c>
      <c r="C9" s="245">
        <v>8.0</v>
      </c>
      <c r="D9" s="247">
        <v>0.0529801324503311</v>
      </c>
      <c r="E9" s="249"/>
      <c r="F9" s="234" t="s">
        <v>548</v>
      </c>
      <c r="G9" s="192" t="s">
        <v>482</v>
      </c>
      <c r="H9" s="149"/>
      <c r="I9" s="149"/>
    </row>
    <row r="10">
      <c r="A10" s="223">
        <v>7.0</v>
      </c>
      <c r="B10" s="266" t="s">
        <v>551</v>
      </c>
      <c r="C10" s="267">
        <v>6.0</v>
      </c>
      <c r="D10" s="268">
        <v>0.0397350993377484</v>
      </c>
      <c r="E10" s="269"/>
      <c r="F10" s="234" t="s">
        <v>554</v>
      </c>
      <c r="G10" s="192" t="s">
        <v>482</v>
      </c>
      <c r="H10" s="149"/>
      <c r="I10" s="149"/>
    </row>
    <row r="11">
      <c r="A11" s="223">
        <v>8.0</v>
      </c>
      <c r="B11" s="271" t="s">
        <v>558</v>
      </c>
      <c r="C11" s="245">
        <v>6.0</v>
      </c>
      <c r="D11" s="247">
        <v>0.0397350993377484</v>
      </c>
      <c r="E11" s="249"/>
      <c r="F11" s="264"/>
      <c r="G11" s="192" t="s">
        <v>526</v>
      </c>
      <c r="H11" s="149"/>
      <c r="I11" s="149"/>
    </row>
    <row r="12">
      <c r="A12" s="223">
        <v>9.0</v>
      </c>
      <c r="B12" s="227" t="s">
        <v>562</v>
      </c>
      <c r="C12" s="230">
        <v>5.0</v>
      </c>
      <c r="D12" s="232">
        <v>0.033112582781457</v>
      </c>
      <c r="E12" s="233"/>
      <c r="F12" s="234" t="s">
        <v>565</v>
      </c>
      <c r="G12" s="192" t="s">
        <v>482</v>
      </c>
      <c r="H12" s="149"/>
      <c r="I12" s="149"/>
    </row>
    <row r="13">
      <c r="A13" s="223">
        <v>10.0</v>
      </c>
      <c r="B13" s="272" t="s">
        <v>567</v>
      </c>
      <c r="C13" s="245">
        <v>4.0</v>
      </c>
      <c r="D13" s="247">
        <v>0.0264900662251656</v>
      </c>
      <c r="E13" s="249"/>
      <c r="F13" s="264"/>
      <c r="G13" s="192" t="s">
        <v>507</v>
      </c>
      <c r="H13" s="149"/>
      <c r="I13" s="149"/>
    </row>
    <row r="14">
      <c r="A14" s="223">
        <v>11.0</v>
      </c>
      <c r="B14" s="274" t="s">
        <v>568</v>
      </c>
      <c r="C14" s="276">
        <v>4.0</v>
      </c>
      <c r="D14" s="278">
        <v>0.0264900662251656</v>
      </c>
      <c r="E14" s="279" t="s">
        <v>571</v>
      </c>
      <c r="F14" s="234" t="s">
        <v>572</v>
      </c>
      <c r="G14" s="192" t="s">
        <v>482</v>
      </c>
      <c r="H14" s="149"/>
      <c r="I14" s="149"/>
    </row>
    <row r="15">
      <c r="A15" s="223">
        <v>12.0</v>
      </c>
      <c r="B15" s="282" t="s">
        <v>574</v>
      </c>
      <c r="C15" s="245">
        <v>4.0</v>
      </c>
      <c r="D15" s="247">
        <v>0.0264900662251656</v>
      </c>
      <c r="E15" s="249"/>
      <c r="F15" s="264"/>
      <c r="G15" s="192" t="s">
        <v>526</v>
      </c>
      <c r="H15" s="149"/>
      <c r="I15" s="149"/>
    </row>
    <row r="16">
      <c r="A16" s="223">
        <v>13.0</v>
      </c>
      <c r="B16" s="284" t="s">
        <v>578</v>
      </c>
      <c r="C16" s="285">
        <v>4.0</v>
      </c>
      <c r="D16" s="286">
        <v>0.0264900662251656</v>
      </c>
      <c r="E16" s="287"/>
      <c r="F16" s="234" t="s">
        <v>589</v>
      </c>
      <c r="G16" s="192" t="s">
        <v>482</v>
      </c>
      <c r="H16" s="149"/>
      <c r="I16" s="149"/>
    </row>
    <row r="17">
      <c r="A17" s="223">
        <v>14.0</v>
      </c>
      <c r="B17" s="288" t="s">
        <v>593</v>
      </c>
      <c r="C17" s="245">
        <v>4.0</v>
      </c>
      <c r="D17" s="247">
        <v>0.0264900662251656</v>
      </c>
      <c r="E17" s="249"/>
      <c r="F17" s="264"/>
      <c r="G17" s="192" t="s">
        <v>526</v>
      </c>
      <c r="H17" s="149"/>
      <c r="I17" s="149"/>
    </row>
    <row r="18">
      <c r="A18" s="223">
        <v>15.0</v>
      </c>
      <c r="B18" s="290" t="s">
        <v>594</v>
      </c>
      <c r="C18" s="292">
        <v>4.0</v>
      </c>
      <c r="D18" s="294">
        <v>0.0264900662251656</v>
      </c>
      <c r="E18" s="296"/>
      <c r="F18" s="234" t="s">
        <v>596</v>
      </c>
      <c r="G18" s="192" t="s">
        <v>526</v>
      </c>
      <c r="H18" s="149"/>
      <c r="I18" s="149"/>
    </row>
    <row r="19">
      <c r="A19" s="223">
        <v>16.0</v>
      </c>
      <c r="B19" s="298" t="s">
        <v>598</v>
      </c>
      <c r="C19" s="245">
        <v>4.0</v>
      </c>
      <c r="D19" s="247">
        <v>0.0264900662251656</v>
      </c>
      <c r="E19" s="249"/>
      <c r="F19" s="264"/>
      <c r="G19" s="192" t="s">
        <v>526</v>
      </c>
      <c r="H19" s="149"/>
      <c r="I19" s="149"/>
    </row>
    <row r="20">
      <c r="A20" s="223">
        <v>17.0</v>
      </c>
      <c r="B20" s="300" t="s">
        <v>601</v>
      </c>
      <c r="C20" s="301">
        <v>3.0</v>
      </c>
      <c r="D20" s="302">
        <v>0.0198675496688742</v>
      </c>
      <c r="E20" s="303"/>
      <c r="F20" s="261" t="s">
        <v>610</v>
      </c>
      <c r="G20" s="192" t="s">
        <v>482</v>
      </c>
      <c r="H20" s="149"/>
      <c r="I20" s="149"/>
    </row>
    <row r="21">
      <c r="A21" s="223">
        <v>18.0</v>
      </c>
      <c r="B21" s="304" t="s">
        <v>413</v>
      </c>
      <c r="C21" s="245">
        <v>3.0</v>
      </c>
      <c r="D21" s="247">
        <v>0.0198675496688742</v>
      </c>
      <c r="E21" s="249"/>
      <c r="F21" s="234" t="s">
        <v>619</v>
      </c>
      <c r="G21" s="192" t="s">
        <v>507</v>
      </c>
      <c r="H21" s="149"/>
      <c r="I21" s="149"/>
    </row>
    <row r="22">
      <c r="A22" s="223">
        <v>19.0</v>
      </c>
      <c r="B22" s="305" t="s">
        <v>621</v>
      </c>
      <c r="C22" s="307">
        <v>3.0</v>
      </c>
      <c r="D22" s="308">
        <v>0.0198675496688742</v>
      </c>
      <c r="E22" s="310"/>
      <c r="F22" s="234" t="s">
        <v>624</v>
      </c>
      <c r="G22" s="192" t="s">
        <v>526</v>
      </c>
      <c r="H22" s="149"/>
      <c r="I22" s="149"/>
    </row>
    <row r="23">
      <c r="A23" s="223">
        <v>20.0</v>
      </c>
      <c r="B23" s="282" t="s">
        <v>625</v>
      </c>
      <c r="C23" s="245">
        <v>3.0</v>
      </c>
      <c r="D23" s="247">
        <v>0.0198675496688742</v>
      </c>
      <c r="E23" s="249"/>
      <c r="F23" s="264"/>
      <c r="G23" s="192" t="s">
        <v>526</v>
      </c>
      <c r="H23" s="149"/>
      <c r="I23" s="149"/>
    </row>
    <row r="24">
      <c r="A24" s="223">
        <v>21.0</v>
      </c>
      <c r="B24" s="313" t="s">
        <v>629</v>
      </c>
      <c r="C24" s="314">
        <v>3.0</v>
      </c>
      <c r="D24" s="315">
        <v>0.0198675496688742</v>
      </c>
      <c r="E24" s="316"/>
      <c r="F24" s="264"/>
      <c r="G24" s="192" t="s">
        <v>526</v>
      </c>
      <c r="H24" s="149"/>
      <c r="I24" s="149"/>
    </row>
    <row r="25">
      <c r="A25" s="223">
        <v>22.0</v>
      </c>
      <c r="B25" s="282" t="s">
        <v>634</v>
      </c>
      <c r="C25" s="245">
        <v>3.0</v>
      </c>
      <c r="D25" s="247">
        <v>0.0198675496688742</v>
      </c>
      <c r="E25" s="249"/>
      <c r="F25" s="264"/>
      <c r="G25" s="192" t="s">
        <v>526</v>
      </c>
      <c r="H25" s="149"/>
      <c r="I25" s="149"/>
    </row>
    <row r="26">
      <c r="A26" s="223">
        <v>23.0</v>
      </c>
      <c r="B26" s="274" t="s">
        <v>635</v>
      </c>
      <c r="C26" s="276">
        <v>3.0</v>
      </c>
      <c r="D26" s="278">
        <v>0.0198675496688742</v>
      </c>
      <c r="E26" s="318"/>
      <c r="F26" s="264"/>
      <c r="G26" s="192" t="s">
        <v>526</v>
      </c>
      <c r="H26" s="149"/>
      <c r="I26" s="149"/>
    </row>
    <row r="27">
      <c r="A27" s="223">
        <v>24.0</v>
      </c>
      <c r="B27" s="321" t="s">
        <v>636</v>
      </c>
      <c r="C27" s="245">
        <v>2.0</v>
      </c>
      <c r="D27" s="247">
        <v>0.0132450331125828</v>
      </c>
      <c r="E27" s="249"/>
      <c r="F27" s="264"/>
      <c r="G27" s="192" t="s">
        <v>526</v>
      </c>
      <c r="H27" s="149"/>
      <c r="I27" s="149"/>
    </row>
    <row r="28">
      <c r="A28" s="223">
        <v>25.0</v>
      </c>
      <c r="B28" s="324" t="s">
        <v>639</v>
      </c>
      <c r="C28" s="301">
        <v>2.0</v>
      </c>
      <c r="D28" s="302">
        <v>0.0132450331125828</v>
      </c>
      <c r="E28" s="303"/>
      <c r="F28" s="264"/>
      <c r="G28" s="192" t="s">
        <v>526</v>
      </c>
      <c r="H28" s="149"/>
      <c r="I28" s="149"/>
    </row>
    <row r="29">
      <c r="A29" s="223">
        <v>26.0</v>
      </c>
      <c r="B29" s="244" t="s">
        <v>642</v>
      </c>
      <c r="C29" s="245">
        <v>2.0</v>
      </c>
      <c r="D29" s="247">
        <v>0.0132450331125828</v>
      </c>
      <c r="E29" s="249"/>
      <c r="F29" s="264"/>
      <c r="G29" s="192" t="s">
        <v>526</v>
      </c>
      <c r="H29" s="149"/>
      <c r="I29" s="149"/>
    </row>
    <row r="30">
      <c r="A30" s="223">
        <v>27.0</v>
      </c>
      <c r="B30" s="266" t="s">
        <v>644</v>
      </c>
      <c r="C30" s="267">
        <v>2.0</v>
      </c>
      <c r="D30" s="268">
        <v>0.0132450331125828</v>
      </c>
      <c r="E30" s="269"/>
      <c r="F30" s="264"/>
      <c r="G30" s="192" t="s">
        <v>526</v>
      </c>
      <c r="H30" s="149"/>
      <c r="I30" s="149"/>
    </row>
    <row r="31">
      <c r="A31" s="223">
        <v>28.0</v>
      </c>
      <c r="B31" s="329" t="s">
        <v>645</v>
      </c>
      <c r="C31" s="245">
        <v>2.0</v>
      </c>
      <c r="D31" s="247">
        <v>0.0132450331125828</v>
      </c>
      <c r="E31" s="249"/>
      <c r="F31" s="264"/>
      <c r="G31" s="192" t="s">
        <v>526</v>
      </c>
      <c r="H31" s="149"/>
      <c r="I31" s="149"/>
    </row>
    <row r="32">
      <c r="A32" s="223">
        <v>29.0</v>
      </c>
      <c r="B32" s="332" t="s">
        <v>648</v>
      </c>
      <c r="C32" s="334">
        <v>2.0</v>
      </c>
      <c r="D32" s="336">
        <v>0.0132450331125828</v>
      </c>
      <c r="E32" s="337"/>
      <c r="F32" s="264"/>
      <c r="G32" s="192" t="s">
        <v>526</v>
      </c>
      <c r="H32" s="149"/>
      <c r="I32" s="149"/>
    </row>
    <row r="33">
      <c r="A33" s="223">
        <v>30.0</v>
      </c>
      <c r="B33" s="339" t="s">
        <v>654</v>
      </c>
      <c r="C33" s="245">
        <v>1.0</v>
      </c>
      <c r="D33" s="247">
        <v>0.00662251655629139</v>
      </c>
      <c r="E33" s="249"/>
      <c r="F33" s="264"/>
      <c r="G33" s="192" t="s">
        <v>526</v>
      </c>
      <c r="H33" s="149"/>
      <c r="I33" s="149"/>
    </row>
    <row r="34">
      <c r="A34" s="223">
        <v>31.0</v>
      </c>
      <c r="B34" s="340" t="s">
        <v>660</v>
      </c>
      <c r="C34" s="341">
        <v>1.0</v>
      </c>
      <c r="D34" s="342">
        <v>0.00662251655629139</v>
      </c>
      <c r="E34" s="343"/>
      <c r="F34" s="264"/>
      <c r="G34" s="192" t="s">
        <v>526</v>
      </c>
      <c r="H34" s="149"/>
      <c r="I34" s="149"/>
    </row>
    <row r="35">
      <c r="A35" s="223">
        <v>32.0</v>
      </c>
      <c r="B35" s="344" t="s">
        <v>671</v>
      </c>
      <c r="C35" s="245">
        <v>1.0</v>
      </c>
      <c r="D35" s="247">
        <v>0.00662251655629139</v>
      </c>
      <c r="E35" s="249"/>
      <c r="F35" s="264"/>
      <c r="G35" s="192" t="s">
        <v>526</v>
      </c>
      <c r="H35" s="149"/>
      <c r="I35" s="149"/>
    </row>
    <row r="36">
      <c r="A36" s="346"/>
      <c r="B36" s="348" t="s">
        <v>673</v>
      </c>
      <c r="C36" s="354">
        <f t="shared" ref="C36:D36" si="1">sum(C4:C35)</f>
        <v>151</v>
      </c>
      <c r="D36" s="356">
        <f t="shared" si="1"/>
        <v>1</v>
      </c>
      <c r="E36" s="358"/>
      <c r="F36" s="264"/>
      <c r="G36" s="149"/>
      <c r="H36" s="149"/>
      <c r="I36" s="149"/>
    </row>
    <row r="37">
      <c r="A37" s="360"/>
      <c r="B37" s="362"/>
      <c r="C37" s="362"/>
      <c r="D37" s="362"/>
      <c r="E37" s="363"/>
      <c r="F37" s="365"/>
      <c r="G37" s="149"/>
      <c r="H37" s="149"/>
      <c r="I37" s="149"/>
    </row>
    <row r="38">
      <c r="A38" s="360"/>
      <c r="B38" s="362"/>
      <c r="C38" s="362"/>
      <c r="D38" s="362"/>
      <c r="E38" s="363"/>
      <c r="F38" s="365"/>
      <c r="G38" s="149"/>
      <c r="H38" s="149"/>
      <c r="I38" s="149"/>
    </row>
    <row r="39">
      <c r="A39" s="360"/>
      <c r="B39" s="362"/>
      <c r="C39" s="362"/>
      <c r="D39" s="362"/>
      <c r="E39" s="363"/>
      <c r="F39" s="365"/>
      <c r="G39" s="149"/>
      <c r="H39" s="149"/>
      <c r="I39" s="149"/>
    </row>
  </sheetData>
  <mergeCells count="1">
    <mergeCell ref="A1:H2"/>
  </mergeCells>
  <conditionalFormatting sqref="G4:G35">
    <cfRule type="notContainsBlanks" dxfId="0" priority="1">
      <formula>LEN(TRIM(G4))&gt;0</formula>
    </cfRule>
  </conditionalFormatting>
  <dataValidations>
    <dataValidation type="list" allowBlank="1" showErrorMessage="1" sqref="G4:G35">
      <formula1>"Completed,In Progress,Not Started,Completed &amp; Used"</formula1>
    </dataValidation>
  </dataValidations>
  <drawing r:id="rId4"/>
  <legacyDrawing r:id="rId5"/>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75"/>
  <cols>
    <col customWidth="1" min="1" max="1" width="1.38"/>
    <col customWidth="1" min="2" max="2" width="7.38"/>
    <col customWidth="1" min="3" max="3" width="22.25"/>
    <col customWidth="1" min="4" max="4" width="42.13"/>
    <col customWidth="1" min="5" max="5" width="74.38"/>
    <col customWidth="1" min="6" max="6" width="21.38"/>
    <col customWidth="1" min="7" max="7" width="30.25"/>
  </cols>
  <sheetData>
    <row r="1">
      <c r="A1" s="221"/>
      <c r="B1" s="224" t="s">
        <v>472</v>
      </c>
      <c r="C1" s="209"/>
      <c r="D1" s="209"/>
      <c r="E1" s="212"/>
      <c r="F1" s="226"/>
      <c r="G1" s="72"/>
    </row>
    <row r="2">
      <c r="A2" s="221"/>
      <c r="B2" s="228"/>
      <c r="E2" s="231"/>
      <c r="F2" s="226"/>
      <c r="G2" s="72"/>
    </row>
    <row r="3">
      <c r="A3" s="221"/>
      <c r="B3" s="228"/>
      <c r="E3" s="231"/>
      <c r="F3" s="226"/>
      <c r="G3" s="72"/>
    </row>
    <row r="4">
      <c r="A4" s="221"/>
      <c r="B4" s="214"/>
      <c r="C4" s="215"/>
      <c r="D4" s="215"/>
      <c r="E4" s="216"/>
      <c r="F4" s="226"/>
      <c r="G4" s="72"/>
    </row>
    <row r="5">
      <c r="A5" s="221"/>
      <c r="B5" s="235" t="s">
        <v>477</v>
      </c>
      <c r="C5" s="236"/>
      <c r="D5" s="236"/>
      <c r="E5" s="237"/>
      <c r="F5" s="226"/>
      <c r="G5" s="72"/>
    </row>
    <row r="6">
      <c r="A6" s="221"/>
      <c r="B6" s="221"/>
      <c r="C6" s="221"/>
      <c r="D6" s="221"/>
      <c r="E6" s="221"/>
      <c r="F6" s="226"/>
      <c r="G6" s="72"/>
    </row>
    <row r="7">
      <c r="A7" s="221"/>
      <c r="B7" s="238" t="s">
        <v>459</v>
      </c>
      <c r="C7" s="238" t="s">
        <v>461</v>
      </c>
      <c r="D7" s="238" t="s">
        <v>479</v>
      </c>
      <c r="E7" s="238" t="s">
        <v>480</v>
      </c>
      <c r="F7" s="239" t="s">
        <v>481</v>
      </c>
      <c r="G7" s="240"/>
    </row>
    <row r="8">
      <c r="A8" s="221"/>
      <c r="B8" s="241" t="s">
        <v>483</v>
      </c>
      <c r="C8" s="242"/>
      <c r="D8" s="242"/>
      <c r="E8" s="243"/>
      <c r="F8" s="241"/>
      <c r="G8" s="243"/>
    </row>
    <row r="9">
      <c r="A9" s="221"/>
      <c r="B9" s="238">
        <v>1.0</v>
      </c>
      <c r="C9" s="246" t="s">
        <v>474</v>
      </c>
      <c r="D9" s="248" t="s">
        <v>485</v>
      </c>
      <c r="E9" s="250" t="s">
        <v>486</v>
      </c>
      <c r="F9" s="254" t="s">
        <v>490</v>
      </c>
      <c r="G9" s="72"/>
    </row>
    <row r="10">
      <c r="A10" s="221"/>
      <c r="B10" s="238">
        <v>2.0</v>
      </c>
      <c r="C10" s="255" t="s">
        <v>474</v>
      </c>
      <c r="D10" s="257" t="s">
        <v>493</v>
      </c>
      <c r="E10" s="258" t="s">
        <v>496</v>
      </c>
      <c r="F10" s="254" t="s">
        <v>490</v>
      </c>
      <c r="G10" s="72"/>
    </row>
    <row r="11">
      <c r="A11" s="221"/>
      <c r="B11" s="238">
        <v>3.0</v>
      </c>
      <c r="C11" s="246" t="s">
        <v>474</v>
      </c>
      <c r="D11" s="248" t="s">
        <v>500</v>
      </c>
      <c r="E11" s="250" t="s">
        <v>503</v>
      </c>
      <c r="F11" s="254" t="s">
        <v>490</v>
      </c>
      <c r="G11" s="72"/>
    </row>
    <row r="12">
      <c r="A12" s="221"/>
      <c r="B12" s="238">
        <v>4.0</v>
      </c>
      <c r="C12" s="255" t="s">
        <v>474</v>
      </c>
      <c r="D12" s="257" t="s">
        <v>506</v>
      </c>
      <c r="E12" s="258" t="s">
        <v>509</v>
      </c>
      <c r="F12" s="254" t="s">
        <v>511</v>
      </c>
      <c r="G12" s="72"/>
    </row>
    <row r="13">
      <c r="A13" s="221"/>
      <c r="B13" s="238">
        <v>5.0</v>
      </c>
      <c r="C13" s="246" t="s">
        <v>474</v>
      </c>
      <c r="D13" s="248" t="s">
        <v>513</v>
      </c>
      <c r="E13" s="250" t="s">
        <v>514</v>
      </c>
      <c r="F13" s="254" t="s">
        <v>511</v>
      </c>
      <c r="G13" s="72"/>
    </row>
    <row r="14">
      <c r="A14" s="221"/>
      <c r="B14" s="238">
        <v>6.0</v>
      </c>
      <c r="C14" s="255" t="s">
        <v>474</v>
      </c>
      <c r="D14" s="257" t="s">
        <v>517</v>
      </c>
      <c r="E14" s="258" t="s">
        <v>519</v>
      </c>
      <c r="F14" s="254" t="s">
        <v>511</v>
      </c>
      <c r="G14" s="72"/>
    </row>
    <row r="15">
      <c r="A15" s="221"/>
      <c r="B15" s="238">
        <v>7.0</v>
      </c>
      <c r="C15" s="246" t="s">
        <v>474</v>
      </c>
      <c r="D15" s="248" t="s">
        <v>521</v>
      </c>
      <c r="E15" s="250" t="s">
        <v>522</v>
      </c>
      <c r="F15" s="254" t="s">
        <v>511</v>
      </c>
      <c r="G15" s="72"/>
    </row>
    <row r="16">
      <c r="A16" s="221"/>
      <c r="B16" s="238">
        <v>8.0</v>
      </c>
      <c r="C16" s="255" t="s">
        <v>474</v>
      </c>
      <c r="D16" s="257" t="s">
        <v>524</v>
      </c>
      <c r="E16" s="258" t="s">
        <v>525</v>
      </c>
      <c r="F16" s="254" t="s">
        <v>526</v>
      </c>
      <c r="G16" s="72"/>
    </row>
    <row r="17">
      <c r="A17" s="221"/>
      <c r="B17" s="238">
        <v>9.0</v>
      </c>
      <c r="C17" s="246" t="s">
        <v>474</v>
      </c>
      <c r="D17" s="248" t="s">
        <v>527</v>
      </c>
      <c r="E17" s="250" t="s">
        <v>528</v>
      </c>
      <c r="F17" s="254" t="s">
        <v>507</v>
      </c>
      <c r="G17" s="72"/>
    </row>
    <row r="18">
      <c r="A18" s="221"/>
      <c r="B18" s="238">
        <v>10.0</v>
      </c>
      <c r="C18" s="255" t="s">
        <v>474</v>
      </c>
      <c r="D18" s="257" t="s">
        <v>529</v>
      </c>
      <c r="E18" s="258" t="s">
        <v>531</v>
      </c>
      <c r="F18" s="254" t="s">
        <v>526</v>
      </c>
      <c r="G18" s="72"/>
    </row>
    <row r="19">
      <c r="A19" s="221"/>
      <c r="B19" s="238">
        <v>11.0</v>
      </c>
      <c r="C19" s="246" t="s">
        <v>474</v>
      </c>
      <c r="D19" s="248" t="s">
        <v>532</v>
      </c>
      <c r="E19" s="250" t="s">
        <v>533</v>
      </c>
      <c r="F19" s="254" t="s">
        <v>490</v>
      </c>
      <c r="G19" s="72"/>
    </row>
    <row r="20">
      <c r="A20" s="221"/>
      <c r="B20" s="238">
        <v>12.0</v>
      </c>
      <c r="C20" s="255" t="s">
        <v>474</v>
      </c>
      <c r="D20" s="257" t="s">
        <v>534</v>
      </c>
      <c r="E20" s="258" t="s">
        <v>535</v>
      </c>
      <c r="F20" s="254" t="s">
        <v>526</v>
      </c>
      <c r="G20" s="72"/>
    </row>
    <row r="21">
      <c r="A21" s="221"/>
      <c r="B21" s="238">
        <v>13.0</v>
      </c>
      <c r="C21" s="246" t="s">
        <v>474</v>
      </c>
      <c r="D21" s="248" t="s">
        <v>536</v>
      </c>
      <c r="E21" s="250" t="s">
        <v>537</v>
      </c>
      <c r="F21" s="254" t="s">
        <v>511</v>
      </c>
      <c r="G21" s="72"/>
    </row>
    <row r="22">
      <c r="A22" s="221"/>
      <c r="B22" s="238">
        <v>14.0</v>
      </c>
      <c r="C22" s="255" t="s">
        <v>474</v>
      </c>
      <c r="D22" s="257" t="s">
        <v>538</v>
      </c>
      <c r="E22" s="258" t="s">
        <v>539</v>
      </c>
      <c r="F22" s="254" t="s">
        <v>507</v>
      </c>
      <c r="G22" s="72"/>
    </row>
    <row r="23">
      <c r="A23" s="221"/>
      <c r="B23" s="238">
        <v>15.0</v>
      </c>
      <c r="C23" s="246" t="s">
        <v>474</v>
      </c>
      <c r="D23" s="248" t="s">
        <v>541</v>
      </c>
      <c r="E23" s="250" t="s">
        <v>542</v>
      </c>
      <c r="F23" s="254" t="s">
        <v>507</v>
      </c>
      <c r="G23" s="72"/>
    </row>
    <row r="24">
      <c r="A24" s="221"/>
      <c r="B24" s="238">
        <v>16.0</v>
      </c>
      <c r="C24" s="255" t="s">
        <v>474</v>
      </c>
      <c r="D24" s="257" t="s">
        <v>543</v>
      </c>
      <c r="E24" s="258" t="s">
        <v>544</v>
      </c>
      <c r="F24" s="254" t="s">
        <v>526</v>
      </c>
      <c r="G24" s="72"/>
    </row>
    <row r="25">
      <c r="A25" s="221"/>
      <c r="B25" s="238">
        <v>17.0</v>
      </c>
      <c r="C25" s="246" t="s">
        <v>474</v>
      </c>
      <c r="D25" s="248" t="s">
        <v>546</v>
      </c>
      <c r="E25" s="250" t="s">
        <v>547</v>
      </c>
      <c r="F25" s="254" t="s">
        <v>526</v>
      </c>
      <c r="G25" s="72"/>
    </row>
    <row r="26">
      <c r="A26" s="221"/>
      <c r="B26" s="238">
        <v>18.0</v>
      </c>
      <c r="C26" s="255" t="s">
        <v>474</v>
      </c>
      <c r="D26" s="257" t="s">
        <v>549</v>
      </c>
      <c r="E26" s="258" t="s">
        <v>550</v>
      </c>
      <c r="F26" s="254" t="s">
        <v>507</v>
      </c>
      <c r="G26" s="72"/>
    </row>
    <row r="27">
      <c r="A27" s="221"/>
      <c r="B27" s="238">
        <v>19.0</v>
      </c>
      <c r="C27" s="246" t="s">
        <v>474</v>
      </c>
      <c r="D27" s="248" t="s">
        <v>552</v>
      </c>
      <c r="E27" s="250" t="s">
        <v>553</v>
      </c>
      <c r="F27" s="254" t="s">
        <v>507</v>
      </c>
      <c r="G27" s="72"/>
    </row>
    <row r="28">
      <c r="A28" s="221"/>
      <c r="B28" s="238">
        <v>20.0</v>
      </c>
      <c r="C28" s="255" t="s">
        <v>474</v>
      </c>
      <c r="D28" s="257" t="s">
        <v>555</v>
      </c>
      <c r="E28" s="258" t="s">
        <v>556</v>
      </c>
      <c r="F28" s="254" t="s">
        <v>507</v>
      </c>
      <c r="G28" s="72"/>
    </row>
    <row r="29">
      <c r="A29" s="221"/>
      <c r="B29" s="238">
        <v>21.0</v>
      </c>
      <c r="C29" s="246" t="s">
        <v>474</v>
      </c>
      <c r="D29" s="248" t="s">
        <v>557</v>
      </c>
      <c r="E29" s="250" t="s">
        <v>559</v>
      </c>
      <c r="F29" s="254" t="s">
        <v>526</v>
      </c>
      <c r="G29" s="72"/>
    </row>
    <row r="30">
      <c r="A30" s="221"/>
      <c r="B30" s="238">
        <v>22.0</v>
      </c>
      <c r="C30" s="255" t="s">
        <v>474</v>
      </c>
      <c r="D30" s="257" t="s">
        <v>560</v>
      </c>
      <c r="E30" s="258" t="s">
        <v>561</v>
      </c>
      <c r="F30" s="254" t="s">
        <v>507</v>
      </c>
      <c r="G30" s="72"/>
    </row>
    <row r="31">
      <c r="A31" s="221"/>
      <c r="B31" s="238">
        <v>23.0</v>
      </c>
      <c r="C31" s="246" t="s">
        <v>474</v>
      </c>
      <c r="D31" s="248" t="s">
        <v>563</v>
      </c>
      <c r="E31" s="250" t="s">
        <v>564</v>
      </c>
      <c r="F31" s="254" t="s">
        <v>526</v>
      </c>
      <c r="G31" s="72"/>
    </row>
    <row r="32">
      <c r="A32" s="221"/>
      <c r="B32" s="273" t="s">
        <v>566</v>
      </c>
      <c r="C32" s="242"/>
      <c r="D32" s="242"/>
      <c r="E32" s="243"/>
      <c r="F32" s="226"/>
      <c r="G32" s="72"/>
    </row>
    <row r="33">
      <c r="A33" s="221"/>
      <c r="B33" s="275">
        <v>24.0</v>
      </c>
      <c r="C33" s="277" t="s">
        <v>530</v>
      </c>
      <c r="D33" s="257" t="s">
        <v>569</v>
      </c>
      <c r="E33" s="258" t="s">
        <v>570</v>
      </c>
      <c r="F33" s="254" t="s">
        <v>526</v>
      </c>
      <c r="G33" s="72"/>
    </row>
    <row r="34">
      <c r="A34" s="221"/>
      <c r="B34" s="275">
        <v>25.0</v>
      </c>
      <c r="C34" s="280" t="s">
        <v>530</v>
      </c>
      <c r="D34" s="281" t="s">
        <v>573</v>
      </c>
      <c r="E34" s="283" t="s">
        <v>575</v>
      </c>
      <c r="F34" s="254" t="s">
        <v>526</v>
      </c>
      <c r="G34" s="72"/>
    </row>
    <row r="35">
      <c r="A35" s="221"/>
      <c r="B35" s="275">
        <v>26.0</v>
      </c>
      <c r="C35" s="277" t="s">
        <v>530</v>
      </c>
      <c r="D35" s="257" t="s">
        <v>576</v>
      </c>
      <c r="E35" s="258" t="s">
        <v>577</v>
      </c>
      <c r="F35" s="254" t="s">
        <v>526</v>
      </c>
      <c r="G35" s="72"/>
    </row>
    <row r="36">
      <c r="A36" s="221"/>
      <c r="B36" s="275">
        <v>27.0</v>
      </c>
      <c r="C36" s="280" t="s">
        <v>530</v>
      </c>
      <c r="D36" s="281" t="s">
        <v>579</v>
      </c>
      <c r="E36" s="283" t="s">
        <v>580</v>
      </c>
      <c r="F36" s="254" t="s">
        <v>526</v>
      </c>
      <c r="G36" s="72"/>
    </row>
    <row r="37">
      <c r="A37" s="221"/>
      <c r="B37" s="275">
        <v>28.0</v>
      </c>
      <c r="C37" s="277" t="s">
        <v>530</v>
      </c>
      <c r="D37" s="257" t="s">
        <v>581</v>
      </c>
      <c r="E37" s="258" t="s">
        <v>582</v>
      </c>
      <c r="F37" s="254" t="s">
        <v>526</v>
      </c>
      <c r="G37" s="72"/>
    </row>
    <row r="38">
      <c r="A38" s="221"/>
      <c r="B38" s="275">
        <v>29.0</v>
      </c>
      <c r="C38" s="280" t="s">
        <v>530</v>
      </c>
      <c r="D38" s="281" t="s">
        <v>583</v>
      </c>
      <c r="E38" s="283" t="s">
        <v>584</v>
      </c>
      <c r="F38" s="254" t="s">
        <v>526</v>
      </c>
      <c r="G38" s="72"/>
    </row>
    <row r="39">
      <c r="A39" s="221"/>
      <c r="B39" s="275">
        <v>30.0</v>
      </c>
      <c r="C39" s="277" t="s">
        <v>530</v>
      </c>
      <c r="D39" s="257" t="s">
        <v>585</v>
      </c>
      <c r="E39" s="258" t="s">
        <v>586</v>
      </c>
      <c r="F39" s="254" t="s">
        <v>526</v>
      </c>
      <c r="G39" s="72"/>
    </row>
    <row r="40">
      <c r="A40" s="221"/>
      <c r="B40" s="275">
        <v>31.0</v>
      </c>
      <c r="C40" s="280" t="s">
        <v>530</v>
      </c>
      <c r="D40" s="281" t="s">
        <v>587</v>
      </c>
      <c r="E40" s="283" t="s">
        <v>588</v>
      </c>
      <c r="F40" s="254" t="s">
        <v>526</v>
      </c>
      <c r="G40" s="72"/>
    </row>
    <row r="41">
      <c r="A41" s="221"/>
      <c r="B41" s="275">
        <v>32.0</v>
      </c>
      <c r="C41" s="277" t="s">
        <v>530</v>
      </c>
      <c r="D41" s="257" t="s">
        <v>590</v>
      </c>
      <c r="E41" s="258" t="s">
        <v>591</v>
      </c>
      <c r="F41" s="254" t="s">
        <v>526</v>
      </c>
      <c r="G41" s="72"/>
    </row>
    <row r="42">
      <c r="A42" s="221"/>
      <c r="B42" s="289" t="s">
        <v>592</v>
      </c>
      <c r="C42" s="242"/>
      <c r="D42" s="242"/>
      <c r="E42" s="243"/>
      <c r="F42" s="226"/>
      <c r="G42" s="72"/>
    </row>
    <row r="43">
      <c r="A43" s="221"/>
      <c r="B43" s="291">
        <v>33.0</v>
      </c>
      <c r="C43" s="293" t="s">
        <v>484</v>
      </c>
      <c r="D43" s="295" t="s">
        <v>595</v>
      </c>
      <c r="E43" s="297" t="s">
        <v>597</v>
      </c>
      <c r="F43" s="254" t="s">
        <v>526</v>
      </c>
      <c r="G43" s="72"/>
    </row>
    <row r="44">
      <c r="A44" s="221"/>
      <c r="B44" s="291">
        <v>34.0</v>
      </c>
      <c r="C44" s="299" t="s">
        <v>484</v>
      </c>
      <c r="D44" s="257" t="s">
        <v>599</v>
      </c>
      <c r="E44" s="258" t="s">
        <v>600</v>
      </c>
      <c r="F44" s="254" t="s">
        <v>526</v>
      </c>
      <c r="G44" s="72"/>
    </row>
    <row r="45">
      <c r="A45" s="221"/>
      <c r="B45" s="291">
        <v>35.0</v>
      </c>
      <c r="C45" s="293" t="s">
        <v>484</v>
      </c>
      <c r="D45" s="295" t="s">
        <v>602</v>
      </c>
      <c r="E45" s="297" t="s">
        <v>603</v>
      </c>
      <c r="F45" s="254" t="s">
        <v>526</v>
      </c>
      <c r="G45" s="72"/>
    </row>
    <row r="46">
      <c r="A46" s="221"/>
      <c r="B46" s="291">
        <v>36.0</v>
      </c>
      <c r="C46" s="299" t="s">
        <v>484</v>
      </c>
      <c r="D46" s="257" t="s">
        <v>604</v>
      </c>
      <c r="E46" s="258" t="s">
        <v>605</v>
      </c>
      <c r="F46" s="254" t="s">
        <v>526</v>
      </c>
      <c r="G46" s="72"/>
    </row>
    <row r="47">
      <c r="A47" s="221"/>
      <c r="B47" s="291">
        <v>37.0</v>
      </c>
      <c r="C47" s="293" t="s">
        <v>484</v>
      </c>
      <c r="D47" s="295" t="s">
        <v>606</v>
      </c>
      <c r="E47" s="297" t="s">
        <v>607</v>
      </c>
      <c r="F47" s="254" t="s">
        <v>526</v>
      </c>
      <c r="G47" s="72"/>
    </row>
    <row r="48">
      <c r="A48" s="221"/>
      <c r="B48" s="291">
        <v>38.0</v>
      </c>
      <c r="C48" s="299" t="s">
        <v>484</v>
      </c>
      <c r="D48" s="257" t="s">
        <v>608</v>
      </c>
      <c r="E48" s="258" t="s">
        <v>609</v>
      </c>
      <c r="F48" s="254" t="s">
        <v>526</v>
      </c>
      <c r="G48" s="72"/>
    </row>
    <row r="49">
      <c r="A49" s="221"/>
      <c r="B49" s="291">
        <v>39.0</v>
      </c>
      <c r="C49" s="293" t="s">
        <v>484</v>
      </c>
      <c r="D49" s="295" t="s">
        <v>611</v>
      </c>
      <c r="E49" s="297" t="s">
        <v>612</v>
      </c>
      <c r="F49" s="254" t="s">
        <v>526</v>
      </c>
      <c r="G49" s="72"/>
    </row>
    <row r="50">
      <c r="A50" s="221"/>
      <c r="B50" s="291">
        <v>40.0</v>
      </c>
      <c r="C50" s="299" t="s">
        <v>484</v>
      </c>
      <c r="D50" s="257" t="s">
        <v>613</v>
      </c>
      <c r="E50" s="258" t="s">
        <v>614</v>
      </c>
      <c r="F50" s="254" t="s">
        <v>526</v>
      </c>
      <c r="G50" s="72"/>
    </row>
    <row r="51">
      <c r="A51" s="221"/>
      <c r="B51" s="291">
        <v>41.0</v>
      </c>
      <c r="C51" s="293" t="s">
        <v>484</v>
      </c>
      <c r="D51" s="295" t="s">
        <v>615</v>
      </c>
      <c r="E51" s="297" t="s">
        <v>616</v>
      </c>
      <c r="F51" s="254" t="s">
        <v>526</v>
      </c>
      <c r="G51" s="72"/>
    </row>
    <row r="52">
      <c r="A52" s="221"/>
      <c r="B52" s="291">
        <v>42.0</v>
      </c>
      <c r="C52" s="299" t="s">
        <v>484</v>
      </c>
      <c r="D52" s="257" t="s">
        <v>617</v>
      </c>
      <c r="E52" s="258" t="s">
        <v>618</v>
      </c>
      <c r="F52" s="254" t="s">
        <v>526</v>
      </c>
      <c r="G52" s="72"/>
    </row>
    <row r="53">
      <c r="A53" s="221"/>
      <c r="B53" s="306" t="s">
        <v>620</v>
      </c>
      <c r="C53" s="242"/>
      <c r="D53" s="242"/>
      <c r="E53" s="243"/>
      <c r="F53" s="226"/>
      <c r="G53" s="72"/>
    </row>
    <row r="54">
      <c r="A54" s="221"/>
      <c r="B54" s="309">
        <v>43.0</v>
      </c>
      <c r="C54" s="311" t="s">
        <v>567</v>
      </c>
      <c r="D54" s="248" t="s">
        <v>622</v>
      </c>
      <c r="E54" s="250" t="s">
        <v>623</v>
      </c>
      <c r="F54" s="254" t="s">
        <v>507</v>
      </c>
      <c r="G54" s="72"/>
    </row>
    <row r="55">
      <c r="A55" s="221"/>
      <c r="B55" s="309">
        <v>44.0</v>
      </c>
      <c r="C55" s="312" t="s">
        <v>567</v>
      </c>
      <c r="D55" s="257" t="s">
        <v>626</v>
      </c>
      <c r="E55" s="258" t="s">
        <v>627</v>
      </c>
      <c r="F55" s="254" t="s">
        <v>490</v>
      </c>
      <c r="G55" s="72"/>
    </row>
    <row r="56">
      <c r="A56" s="221"/>
      <c r="B56" s="309">
        <v>45.0</v>
      </c>
      <c r="C56" s="311" t="s">
        <v>567</v>
      </c>
      <c r="D56" s="248" t="s">
        <v>628</v>
      </c>
      <c r="E56" s="250" t="s">
        <v>630</v>
      </c>
      <c r="F56" s="254" t="s">
        <v>507</v>
      </c>
      <c r="G56" s="72"/>
    </row>
    <row r="57">
      <c r="A57" s="221"/>
      <c r="B57" s="309">
        <v>46.0</v>
      </c>
      <c r="C57" s="312" t="s">
        <v>567</v>
      </c>
      <c r="D57" s="257" t="s">
        <v>631</v>
      </c>
      <c r="E57" s="258" t="s">
        <v>632</v>
      </c>
      <c r="F57" s="254" t="s">
        <v>507</v>
      </c>
      <c r="G57" s="72"/>
    </row>
    <row r="58">
      <c r="A58" s="221"/>
      <c r="B58" s="317" t="s">
        <v>633</v>
      </c>
      <c r="C58" s="242"/>
      <c r="D58" s="242"/>
      <c r="E58" s="243"/>
      <c r="F58" s="226"/>
      <c r="G58" s="72"/>
    </row>
    <row r="59">
      <c r="A59" s="221"/>
      <c r="B59" s="319">
        <v>47.0</v>
      </c>
      <c r="C59" s="320" t="s">
        <v>636</v>
      </c>
      <c r="D59" s="322" t="s">
        <v>637</v>
      </c>
      <c r="E59" s="323" t="s">
        <v>638</v>
      </c>
      <c r="F59" s="254" t="s">
        <v>490</v>
      </c>
      <c r="G59" s="72"/>
    </row>
    <row r="60">
      <c r="A60" s="221"/>
      <c r="B60" s="319">
        <v>48.0</v>
      </c>
      <c r="C60" s="325" t="s">
        <v>636</v>
      </c>
      <c r="D60" s="257" t="s">
        <v>640</v>
      </c>
      <c r="E60" s="258" t="s">
        <v>641</v>
      </c>
      <c r="F60" s="254" t="s">
        <v>490</v>
      </c>
      <c r="G60" s="72"/>
    </row>
    <row r="61">
      <c r="A61" s="221"/>
      <c r="B61" s="326" t="s">
        <v>643</v>
      </c>
      <c r="C61" s="242"/>
      <c r="D61" s="242"/>
      <c r="E61" s="243"/>
      <c r="F61" s="226"/>
      <c r="G61" s="72"/>
    </row>
    <row r="62">
      <c r="A62" s="221"/>
      <c r="B62" s="327">
        <v>49.0</v>
      </c>
      <c r="C62" s="328" t="s">
        <v>488</v>
      </c>
      <c r="D62" s="330" t="s">
        <v>646</v>
      </c>
      <c r="E62" s="331" t="s">
        <v>647</v>
      </c>
      <c r="F62" s="254" t="s">
        <v>507</v>
      </c>
      <c r="G62" s="72"/>
    </row>
    <row r="63">
      <c r="A63" s="221"/>
      <c r="B63" s="327">
        <v>50.0</v>
      </c>
      <c r="C63" s="333" t="s">
        <v>488</v>
      </c>
      <c r="D63" s="257" t="s">
        <v>649</v>
      </c>
      <c r="E63" s="258" t="s">
        <v>650</v>
      </c>
      <c r="F63" s="254" t="s">
        <v>511</v>
      </c>
      <c r="G63" s="335" t="s">
        <v>651</v>
      </c>
    </row>
    <row r="64">
      <c r="A64" s="221"/>
      <c r="B64" s="327">
        <v>51.0</v>
      </c>
      <c r="C64" s="328" t="s">
        <v>488</v>
      </c>
      <c r="D64" s="338" t="s">
        <v>652</v>
      </c>
      <c r="E64" s="331" t="s">
        <v>653</v>
      </c>
      <c r="F64" s="254" t="s">
        <v>507</v>
      </c>
      <c r="G64" s="72"/>
    </row>
    <row r="65">
      <c r="A65" s="221"/>
      <c r="B65" s="327">
        <v>52.0</v>
      </c>
      <c r="C65" s="333" t="s">
        <v>488</v>
      </c>
      <c r="D65" s="257" t="s">
        <v>655</v>
      </c>
      <c r="E65" s="258" t="s">
        <v>656</v>
      </c>
      <c r="F65" s="254" t="s">
        <v>490</v>
      </c>
      <c r="G65" s="72"/>
    </row>
    <row r="66">
      <c r="A66" s="221"/>
      <c r="B66" s="327">
        <v>53.0</v>
      </c>
      <c r="C66" s="328" t="s">
        <v>488</v>
      </c>
      <c r="D66" s="338" t="s">
        <v>657</v>
      </c>
      <c r="E66" s="331" t="s">
        <v>658</v>
      </c>
      <c r="F66" s="254" t="s">
        <v>507</v>
      </c>
      <c r="G66" s="335" t="s">
        <v>659</v>
      </c>
    </row>
    <row r="67">
      <c r="A67" s="221"/>
      <c r="B67" s="327">
        <v>54.0</v>
      </c>
      <c r="C67" s="333" t="s">
        <v>488</v>
      </c>
      <c r="D67" s="257" t="s">
        <v>661</v>
      </c>
      <c r="E67" s="258" t="s">
        <v>662</v>
      </c>
      <c r="F67" s="254" t="s">
        <v>526</v>
      </c>
      <c r="G67" s="72"/>
    </row>
    <row r="68">
      <c r="A68" s="221"/>
      <c r="B68" s="327">
        <v>55.0</v>
      </c>
      <c r="C68" s="328" t="s">
        <v>488</v>
      </c>
      <c r="D68" s="338" t="s">
        <v>663</v>
      </c>
      <c r="E68" s="331" t="s">
        <v>664</v>
      </c>
      <c r="F68" s="254" t="s">
        <v>511</v>
      </c>
      <c r="G68" s="72"/>
    </row>
    <row r="69">
      <c r="A69" s="221"/>
      <c r="B69" s="327">
        <v>56.0</v>
      </c>
      <c r="C69" s="333" t="s">
        <v>488</v>
      </c>
      <c r="D69" s="257" t="s">
        <v>665</v>
      </c>
      <c r="E69" s="258" t="s">
        <v>666</v>
      </c>
      <c r="F69" s="254" t="s">
        <v>511</v>
      </c>
      <c r="G69" s="335" t="s">
        <v>651</v>
      </c>
    </row>
    <row r="70">
      <c r="A70" s="221"/>
      <c r="B70" s="327">
        <v>57.0</v>
      </c>
      <c r="C70" s="328" t="s">
        <v>488</v>
      </c>
      <c r="D70" s="338" t="s">
        <v>667</v>
      </c>
      <c r="E70" s="331" t="s">
        <v>668</v>
      </c>
      <c r="F70" s="254" t="s">
        <v>511</v>
      </c>
      <c r="G70" s="72"/>
    </row>
    <row r="71">
      <c r="A71" s="221"/>
      <c r="B71" s="327">
        <v>58.0</v>
      </c>
      <c r="C71" s="333" t="s">
        <v>488</v>
      </c>
      <c r="D71" s="257" t="s">
        <v>669</v>
      </c>
      <c r="E71" s="258" t="s">
        <v>670</v>
      </c>
      <c r="F71" s="254" t="s">
        <v>511</v>
      </c>
      <c r="G71" s="72"/>
    </row>
    <row r="72">
      <c r="A72" s="221"/>
      <c r="B72" s="345" t="s">
        <v>672</v>
      </c>
      <c r="C72" s="242"/>
      <c r="D72" s="242"/>
      <c r="E72" s="243"/>
      <c r="F72" s="226"/>
      <c r="G72" s="72"/>
    </row>
    <row r="73">
      <c r="A73" s="221"/>
      <c r="B73" s="347">
        <v>59.0</v>
      </c>
      <c r="C73" s="349" t="s">
        <v>568</v>
      </c>
      <c r="D73" s="350" t="s">
        <v>674</v>
      </c>
      <c r="E73" s="351" t="s">
        <v>675</v>
      </c>
      <c r="F73" s="254" t="s">
        <v>507</v>
      </c>
      <c r="G73" s="72"/>
    </row>
    <row r="74">
      <c r="A74" s="221"/>
      <c r="B74" s="347">
        <v>60.0</v>
      </c>
      <c r="C74" s="352" t="s">
        <v>568</v>
      </c>
      <c r="D74" s="353" t="s">
        <v>676</v>
      </c>
      <c r="E74" s="258" t="s">
        <v>677</v>
      </c>
      <c r="F74" s="254" t="s">
        <v>507</v>
      </c>
      <c r="G74" s="72"/>
    </row>
    <row r="75">
      <c r="A75" s="221"/>
      <c r="B75" s="347">
        <v>61.0</v>
      </c>
      <c r="C75" s="349" t="s">
        <v>568</v>
      </c>
      <c r="D75" s="350" t="s">
        <v>678</v>
      </c>
      <c r="E75" s="351" t="s">
        <v>679</v>
      </c>
      <c r="F75" s="254" t="s">
        <v>507</v>
      </c>
      <c r="G75" s="72"/>
    </row>
    <row r="76">
      <c r="A76" s="221"/>
      <c r="B76" s="347">
        <v>62.0</v>
      </c>
      <c r="C76" s="352" t="s">
        <v>568</v>
      </c>
      <c r="D76" s="257" t="s">
        <v>680</v>
      </c>
      <c r="E76" s="258" t="s">
        <v>681</v>
      </c>
      <c r="F76" s="254" t="s">
        <v>507</v>
      </c>
      <c r="G76" s="72"/>
    </row>
    <row r="77">
      <c r="A77" s="221"/>
      <c r="B77" s="355" t="s">
        <v>682</v>
      </c>
      <c r="C77" s="242"/>
      <c r="D77" s="242"/>
      <c r="E77" s="243"/>
      <c r="F77" s="226"/>
      <c r="G77" s="72"/>
    </row>
    <row r="78">
      <c r="A78" s="221"/>
      <c r="B78" s="357">
        <v>63.0</v>
      </c>
      <c r="C78" s="359" t="s">
        <v>545</v>
      </c>
      <c r="D78" s="361" t="s">
        <v>683</v>
      </c>
      <c r="E78" s="364" t="s">
        <v>684</v>
      </c>
      <c r="F78" s="254" t="s">
        <v>507</v>
      </c>
      <c r="G78" s="72"/>
    </row>
    <row r="79">
      <c r="A79" s="221"/>
      <c r="B79" s="357">
        <v>64.0</v>
      </c>
      <c r="C79" s="366" t="s">
        <v>545</v>
      </c>
      <c r="D79" s="257" t="s">
        <v>685</v>
      </c>
      <c r="E79" s="258" t="s">
        <v>686</v>
      </c>
      <c r="F79" s="254" t="s">
        <v>507</v>
      </c>
      <c r="G79" s="72"/>
    </row>
    <row r="80">
      <c r="A80" s="221"/>
      <c r="B80" s="357">
        <v>65.0</v>
      </c>
      <c r="C80" s="359" t="s">
        <v>545</v>
      </c>
      <c r="D80" s="361" t="s">
        <v>687</v>
      </c>
      <c r="E80" s="364" t="s">
        <v>688</v>
      </c>
      <c r="F80" s="254" t="s">
        <v>511</v>
      </c>
      <c r="G80" s="72"/>
    </row>
    <row r="81">
      <c r="A81" s="221"/>
      <c r="B81" s="357">
        <v>66.0</v>
      </c>
      <c r="C81" s="366" t="s">
        <v>545</v>
      </c>
      <c r="D81" s="257" t="s">
        <v>689</v>
      </c>
      <c r="E81" s="258" t="s">
        <v>690</v>
      </c>
      <c r="F81" s="254" t="s">
        <v>526</v>
      </c>
      <c r="G81" s="72"/>
    </row>
    <row r="82">
      <c r="A82" s="221"/>
      <c r="B82" s="357">
        <v>67.0</v>
      </c>
      <c r="C82" s="359" t="s">
        <v>545</v>
      </c>
      <c r="D82" s="361" t="s">
        <v>691</v>
      </c>
      <c r="E82" s="364" t="s">
        <v>692</v>
      </c>
      <c r="F82" s="254" t="s">
        <v>526</v>
      </c>
      <c r="G82" s="72"/>
    </row>
    <row r="83">
      <c r="A83" s="221"/>
      <c r="B83" s="357">
        <v>68.0</v>
      </c>
      <c r="C83" s="366" t="s">
        <v>545</v>
      </c>
      <c r="D83" s="257" t="s">
        <v>693</v>
      </c>
      <c r="E83" s="258" t="s">
        <v>694</v>
      </c>
      <c r="F83" s="254" t="s">
        <v>526</v>
      </c>
      <c r="G83" s="72"/>
    </row>
    <row r="84">
      <c r="A84" s="221"/>
      <c r="B84" s="357">
        <v>69.0</v>
      </c>
      <c r="C84" s="359" t="s">
        <v>545</v>
      </c>
      <c r="D84" s="361" t="s">
        <v>695</v>
      </c>
      <c r="E84" s="364" t="s">
        <v>696</v>
      </c>
      <c r="F84" s="254" t="s">
        <v>507</v>
      </c>
      <c r="G84" s="72"/>
    </row>
    <row r="85">
      <c r="A85" s="221"/>
      <c r="B85" s="357">
        <v>70.0</v>
      </c>
      <c r="C85" s="366" t="s">
        <v>545</v>
      </c>
      <c r="D85" s="257" t="s">
        <v>697</v>
      </c>
      <c r="E85" s="258" t="s">
        <v>698</v>
      </c>
      <c r="F85" s="254" t="s">
        <v>507</v>
      </c>
      <c r="G85" s="72"/>
    </row>
    <row r="86">
      <c r="A86" s="221"/>
      <c r="B86" s="367" t="s">
        <v>699</v>
      </c>
      <c r="C86" s="242"/>
      <c r="D86" s="242"/>
      <c r="E86" s="243"/>
      <c r="F86" s="226"/>
      <c r="G86" s="72"/>
    </row>
    <row r="87">
      <c r="A87" s="221"/>
      <c r="B87" s="368">
        <v>71.0</v>
      </c>
      <c r="C87" s="369" t="s">
        <v>574</v>
      </c>
      <c r="D87" s="370" t="s">
        <v>700</v>
      </c>
      <c r="E87" s="371" t="s">
        <v>701</v>
      </c>
      <c r="F87" s="254" t="s">
        <v>511</v>
      </c>
      <c r="G87" s="72"/>
    </row>
    <row r="88">
      <c r="A88" s="221"/>
      <c r="B88" s="368">
        <v>72.0</v>
      </c>
      <c r="C88" s="372" t="s">
        <v>574</v>
      </c>
      <c r="D88" s="257" t="s">
        <v>702</v>
      </c>
      <c r="E88" s="258" t="s">
        <v>703</v>
      </c>
      <c r="F88" s="254" t="s">
        <v>511</v>
      </c>
      <c r="G88" s="72"/>
    </row>
    <row r="89">
      <c r="A89" s="221"/>
      <c r="B89" s="368">
        <v>73.0</v>
      </c>
      <c r="C89" s="369" t="s">
        <v>574</v>
      </c>
      <c r="D89" s="370" t="s">
        <v>704</v>
      </c>
      <c r="E89" s="371" t="s">
        <v>705</v>
      </c>
      <c r="F89" s="254" t="s">
        <v>511</v>
      </c>
      <c r="G89" s="72"/>
    </row>
    <row r="90">
      <c r="A90" s="221"/>
      <c r="B90" s="368">
        <v>74.0</v>
      </c>
      <c r="C90" s="372" t="s">
        <v>574</v>
      </c>
      <c r="D90" s="257" t="s">
        <v>706</v>
      </c>
      <c r="E90" s="258" t="s">
        <v>707</v>
      </c>
      <c r="F90" s="254" t="s">
        <v>511</v>
      </c>
      <c r="G90" s="72"/>
    </row>
    <row r="91">
      <c r="A91" s="221"/>
      <c r="B91" s="373" t="s">
        <v>708</v>
      </c>
      <c r="C91" s="242"/>
      <c r="D91" s="242"/>
      <c r="E91" s="243"/>
      <c r="F91" s="226"/>
      <c r="G91" s="72"/>
    </row>
    <row r="92">
      <c r="A92" s="221"/>
      <c r="B92" s="374">
        <v>75.0</v>
      </c>
      <c r="C92" s="375" t="s">
        <v>336</v>
      </c>
      <c r="D92" s="376" t="s">
        <v>709</v>
      </c>
      <c r="E92" s="377" t="s">
        <v>710</v>
      </c>
      <c r="F92" s="254" t="s">
        <v>507</v>
      </c>
      <c r="G92" s="72"/>
    </row>
    <row r="93">
      <c r="A93" s="221"/>
      <c r="B93" s="374">
        <v>76.0</v>
      </c>
      <c r="C93" s="378" t="s">
        <v>336</v>
      </c>
      <c r="D93" s="257" t="s">
        <v>711</v>
      </c>
      <c r="E93" s="258" t="s">
        <v>712</v>
      </c>
      <c r="F93" s="254" t="s">
        <v>507</v>
      </c>
      <c r="G93" s="72"/>
    </row>
    <row r="94">
      <c r="A94" s="221"/>
      <c r="B94" s="374">
        <v>77.0</v>
      </c>
      <c r="C94" s="375" t="s">
        <v>336</v>
      </c>
      <c r="D94" s="376" t="s">
        <v>713</v>
      </c>
      <c r="E94" s="377" t="s">
        <v>714</v>
      </c>
      <c r="F94" s="254" t="s">
        <v>507</v>
      </c>
      <c r="G94" s="72"/>
    </row>
    <row r="95">
      <c r="A95" s="221"/>
      <c r="B95" s="379" t="s">
        <v>715</v>
      </c>
      <c r="C95" s="242"/>
      <c r="D95" s="242"/>
      <c r="E95" s="243"/>
      <c r="F95" s="226"/>
      <c r="G95" s="72"/>
    </row>
    <row r="96">
      <c r="A96" s="221"/>
      <c r="B96" s="380">
        <v>78.0</v>
      </c>
      <c r="C96" s="381" t="s">
        <v>413</v>
      </c>
      <c r="D96" s="257" t="s">
        <v>716</v>
      </c>
      <c r="E96" s="258" t="s">
        <v>717</v>
      </c>
      <c r="F96" s="254" t="s">
        <v>511</v>
      </c>
      <c r="G96" s="72"/>
    </row>
    <row r="97">
      <c r="A97" s="221"/>
      <c r="B97" s="380">
        <v>79.0</v>
      </c>
      <c r="C97" s="382" t="s">
        <v>413</v>
      </c>
      <c r="D97" s="383" t="s">
        <v>718</v>
      </c>
      <c r="E97" s="384" t="s">
        <v>719</v>
      </c>
      <c r="F97" s="254" t="s">
        <v>507</v>
      </c>
      <c r="G97" s="72"/>
    </row>
    <row r="98">
      <c r="A98" s="221"/>
      <c r="B98" s="380">
        <v>80.0</v>
      </c>
      <c r="C98" s="381" t="s">
        <v>413</v>
      </c>
      <c r="D98" s="257" t="s">
        <v>720</v>
      </c>
      <c r="E98" s="258" t="s">
        <v>721</v>
      </c>
      <c r="F98" s="254" t="s">
        <v>490</v>
      </c>
      <c r="G98" s="72"/>
    </row>
    <row r="99">
      <c r="A99" s="221"/>
      <c r="B99" s="273" t="s">
        <v>722</v>
      </c>
      <c r="C99" s="242"/>
      <c r="D99" s="242"/>
      <c r="E99" s="243"/>
      <c r="F99" s="226"/>
      <c r="G99" s="72"/>
    </row>
    <row r="100">
      <c r="A100" s="221"/>
      <c r="B100" s="275">
        <v>81.0</v>
      </c>
      <c r="C100" s="280" t="s">
        <v>551</v>
      </c>
      <c r="D100" s="281" t="s">
        <v>723</v>
      </c>
      <c r="E100" s="283" t="s">
        <v>724</v>
      </c>
      <c r="F100" s="254" t="s">
        <v>507</v>
      </c>
      <c r="G100" s="72"/>
    </row>
    <row r="101">
      <c r="A101" s="221"/>
      <c r="B101" s="275">
        <v>82.0</v>
      </c>
      <c r="C101" s="277" t="s">
        <v>551</v>
      </c>
      <c r="D101" s="257" t="s">
        <v>725</v>
      </c>
      <c r="E101" s="258" t="s">
        <v>726</v>
      </c>
      <c r="F101" s="254" t="s">
        <v>507</v>
      </c>
      <c r="G101" s="72"/>
    </row>
    <row r="102">
      <c r="A102" s="221"/>
      <c r="B102" s="275">
        <v>83.0</v>
      </c>
      <c r="C102" s="280" t="s">
        <v>551</v>
      </c>
      <c r="D102" s="281" t="s">
        <v>727</v>
      </c>
      <c r="E102" s="283" t="s">
        <v>728</v>
      </c>
      <c r="F102" s="254" t="s">
        <v>507</v>
      </c>
      <c r="G102" s="72"/>
    </row>
    <row r="103">
      <c r="A103" s="221"/>
      <c r="B103" s="275">
        <v>84.0</v>
      </c>
      <c r="C103" s="277" t="s">
        <v>551</v>
      </c>
      <c r="D103" s="257" t="s">
        <v>729</v>
      </c>
      <c r="E103" s="258" t="s">
        <v>730</v>
      </c>
      <c r="F103" s="254" t="s">
        <v>507</v>
      </c>
      <c r="G103" s="72"/>
    </row>
    <row r="104">
      <c r="A104" s="221"/>
      <c r="B104" s="275">
        <v>85.0</v>
      </c>
      <c r="C104" s="280" t="s">
        <v>551</v>
      </c>
      <c r="D104" s="281" t="s">
        <v>731</v>
      </c>
      <c r="E104" s="283" t="s">
        <v>732</v>
      </c>
      <c r="F104" s="254" t="s">
        <v>507</v>
      </c>
      <c r="G104" s="72"/>
    </row>
    <row r="105">
      <c r="A105" s="221"/>
      <c r="B105" s="275">
        <v>86.0</v>
      </c>
      <c r="C105" s="277" t="s">
        <v>551</v>
      </c>
      <c r="D105" s="257" t="s">
        <v>733</v>
      </c>
      <c r="E105" s="258" t="s">
        <v>734</v>
      </c>
      <c r="F105" s="254" t="s">
        <v>490</v>
      </c>
      <c r="G105" s="72"/>
    </row>
    <row r="106">
      <c r="A106" s="221"/>
      <c r="B106" s="289" t="s">
        <v>735</v>
      </c>
      <c r="C106" s="242"/>
      <c r="D106" s="242"/>
      <c r="E106" s="243"/>
      <c r="F106" s="226"/>
      <c r="G106" s="72"/>
    </row>
    <row r="107">
      <c r="A107" s="221"/>
      <c r="B107" s="291">
        <v>87.0</v>
      </c>
      <c r="C107" s="293" t="s">
        <v>621</v>
      </c>
      <c r="D107" s="295" t="s">
        <v>736</v>
      </c>
      <c r="E107" s="297" t="s">
        <v>737</v>
      </c>
      <c r="F107" s="254" t="s">
        <v>526</v>
      </c>
      <c r="G107" s="72"/>
    </row>
    <row r="108">
      <c r="A108" s="221"/>
      <c r="B108" s="291">
        <v>88.0</v>
      </c>
      <c r="C108" s="299" t="s">
        <v>621</v>
      </c>
      <c r="D108" s="257" t="s">
        <v>738</v>
      </c>
      <c r="E108" s="258" t="s">
        <v>739</v>
      </c>
      <c r="F108" s="254" t="s">
        <v>526</v>
      </c>
      <c r="G108" s="72"/>
    </row>
    <row r="109">
      <c r="A109" s="221"/>
      <c r="B109" s="291">
        <v>89.0</v>
      </c>
      <c r="C109" s="293" t="s">
        <v>621</v>
      </c>
      <c r="D109" s="295" t="s">
        <v>740</v>
      </c>
      <c r="E109" s="297" t="s">
        <v>741</v>
      </c>
      <c r="F109" s="254" t="s">
        <v>526</v>
      </c>
      <c r="G109" s="72"/>
    </row>
    <row r="110">
      <c r="A110" s="221"/>
      <c r="B110" s="241" t="s">
        <v>742</v>
      </c>
      <c r="C110" s="242"/>
      <c r="D110" s="242"/>
      <c r="E110" s="243"/>
      <c r="F110" s="226"/>
      <c r="G110" s="72"/>
    </row>
    <row r="111">
      <c r="A111" s="221"/>
      <c r="B111" s="238">
        <v>90.0</v>
      </c>
      <c r="C111" s="255" t="s">
        <v>562</v>
      </c>
      <c r="D111" s="257" t="s">
        <v>743</v>
      </c>
      <c r="E111" s="258" t="s">
        <v>744</v>
      </c>
      <c r="F111" s="254" t="s">
        <v>507</v>
      </c>
      <c r="G111" s="72"/>
    </row>
    <row r="112">
      <c r="A112" s="221"/>
      <c r="B112" s="238">
        <v>91.0</v>
      </c>
      <c r="C112" s="246" t="s">
        <v>562</v>
      </c>
      <c r="D112" s="248" t="s">
        <v>745</v>
      </c>
      <c r="E112" s="250" t="s">
        <v>746</v>
      </c>
      <c r="F112" s="254" t="s">
        <v>507</v>
      </c>
      <c r="G112" s="72"/>
    </row>
    <row r="113">
      <c r="A113" s="221"/>
      <c r="B113" s="238">
        <v>92.0</v>
      </c>
      <c r="C113" s="255" t="s">
        <v>562</v>
      </c>
      <c r="D113" s="257" t="s">
        <v>747</v>
      </c>
      <c r="E113" s="258" t="s">
        <v>748</v>
      </c>
      <c r="F113" s="254" t="s">
        <v>507</v>
      </c>
      <c r="G113" s="72"/>
    </row>
    <row r="114">
      <c r="A114" s="221"/>
      <c r="B114" s="238">
        <v>93.0</v>
      </c>
      <c r="C114" s="246" t="s">
        <v>562</v>
      </c>
      <c r="D114" s="248" t="s">
        <v>749</v>
      </c>
      <c r="E114" s="250" t="s">
        <v>750</v>
      </c>
      <c r="F114" s="254" t="s">
        <v>507</v>
      </c>
      <c r="G114" s="72"/>
    </row>
    <row r="115">
      <c r="A115" s="221"/>
      <c r="B115" s="238">
        <v>94.0</v>
      </c>
      <c r="C115" s="255" t="s">
        <v>562</v>
      </c>
      <c r="D115" s="257" t="s">
        <v>751</v>
      </c>
      <c r="E115" s="258" t="s">
        <v>752</v>
      </c>
      <c r="F115" s="254" t="s">
        <v>507</v>
      </c>
      <c r="G115" s="72"/>
    </row>
    <row r="116">
      <c r="A116" s="221"/>
      <c r="B116" s="355" t="s">
        <v>753</v>
      </c>
      <c r="C116" s="242"/>
      <c r="D116" s="242"/>
      <c r="E116" s="243"/>
      <c r="F116" s="226"/>
      <c r="G116" s="72"/>
    </row>
    <row r="117">
      <c r="A117" s="221"/>
      <c r="B117" s="357">
        <v>95.0</v>
      </c>
      <c r="C117" s="359" t="s">
        <v>578</v>
      </c>
      <c r="D117" s="361" t="s">
        <v>754</v>
      </c>
      <c r="E117" s="364" t="s">
        <v>755</v>
      </c>
      <c r="F117" s="254" t="s">
        <v>507</v>
      </c>
      <c r="G117" s="72"/>
    </row>
    <row r="118">
      <c r="A118" s="221"/>
      <c r="B118" s="357">
        <v>96.0</v>
      </c>
      <c r="C118" s="366" t="s">
        <v>578</v>
      </c>
      <c r="D118" s="257" t="s">
        <v>756</v>
      </c>
      <c r="E118" s="258" t="s">
        <v>757</v>
      </c>
      <c r="F118" s="254" t="s">
        <v>507</v>
      </c>
      <c r="G118" s="72"/>
    </row>
    <row r="119">
      <c r="A119" s="221"/>
      <c r="B119" s="357">
        <v>97.0</v>
      </c>
      <c r="C119" s="359" t="s">
        <v>578</v>
      </c>
      <c r="D119" s="361" t="s">
        <v>758</v>
      </c>
      <c r="E119" s="364" t="s">
        <v>759</v>
      </c>
      <c r="F119" s="254" t="s">
        <v>507</v>
      </c>
      <c r="G119" s="72"/>
    </row>
    <row r="120">
      <c r="A120" s="221"/>
      <c r="B120" s="357">
        <v>98.0</v>
      </c>
      <c r="C120" s="366" t="s">
        <v>578</v>
      </c>
      <c r="D120" s="257" t="s">
        <v>760</v>
      </c>
      <c r="E120" s="258" t="s">
        <v>761</v>
      </c>
      <c r="F120" s="254" t="s">
        <v>507</v>
      </c>
      <c r="G120" s="72"/>
    </row>
    <row r="121">
      <c r="A121" s="221"/>
      <c r="B121" s="326" t="s">
        <v>762</v>
      </c>
      <c r="C121" s="242"/>
      <c r="D121" s="242"/>
      <c r="E121" s="243"/>
      <c r="F121" s="226"/>
      <c r="G121" s="72"/>
    </row>
    <row r="122">
      <c r="A122" s="221"/>
      <c r="B122" s="327">
        <v>99.0</v>
      </c>
      <c r="C122" s="328" t="s">
        <v>593</v>
      </c>
      <c r="D122" s="338" t="s">
        <v>763</v>
      </c>
      <c r="E122" s="331" t="s">
        <v>764</v>
      </c>
      <c r="F122" s="254" t="s">
        <v>511</v>
      </c>
      <c r="G122" s="72"/>
    </row>
    <row r="123">
      <c r="A123" s="221"/>
      <c r="B123" s="327">
        <v>100.0</v>
      </c>
      <c r="C123" s="333" t="s">
        <v>593</v>
      </c>
      <c r="D123" s="257" t="s">
        <v>765</v>
      </c>
      <c r="E123" s="258" t="s">
        <v>766</v>
      </c>
      <c r="F123" s="254" t="s">
        <v>511</v>
      </c>
      <c r="G123" s="72"/>
    </row>
    <row r="124">
      <c r="A124" s="221"/>
      <c r="B124" s="327">
        <v>101.0</v>
      </c>
      <c r="C124" s="328" t="s">
        <v>593</v>
      </c>
      <c r="D124" s="338" t="s">
        <v>767</v>
      </c>
      <c r="E124" s="331" t="s">
        <v>768</v>
      </c>
      <c r="F124" s="254" t="s">
        <v>511</v>
      </c>
      <c r="G124" s="72"/>
    </row>
    <row r="125">
      <c r="A125" s="221"/>
      <c r="B125" s="327">
        <v>102.0</v>
      </c>
      <c r="C125" s="333" t="s">
        <v>593</v>
      </c>
      <c r="D125" s="257" t="s">
        <v>769</v>
      </c>
      <c r="E125" s="258" t="s">
        <v>770</v>
      </c>
      <c r="F125" s="254" t="s">
        <v>511</v>
      </c>
      <c r="G125" s="72"/>
    </row>
    <row r="126">
      <c r="A126" s="221"/>
      <c r="B126" s="379" t="s">
        <v>771</v>
      </c>
      <c r="C126" s="242"/>
      <c r="D126" s="242"/>
      <c r="E126" s="243"/>
      <c r="F126" s="254"/>
      <c r="G126" s="72"/>
    </row>
    <row r="127">
      <c r="A127" s="221"/>
      <c r="B127" s="380">
        <v>103.0</v>
      </c>
      <c r="C127" s="382" t="s">
        <v>594</v>
      </c>
      <c r="D127" s="383" t="s">
        <v>772</v>
      </c>
      <c r="E127" s="384" t="s">
        <v>773</v>
      </c>
      <c r="F127" s="254" t="s">
        <v>507</v>
      </c>
      <c r="G127" s="72"/>
    </row>
    <row r="128">
      <c r="A128" s="221"/>
      <c r="B128" s="380">
        <v>104.0</v>
      </c>
      <c r="C128" s="381" t="s">
        <v>594</v>
      </c>
      <c r="D128" s="257" t="s">
        <v>774</v>
      </c>
      <c r="E128" s="258" t="s">
        <v>775</v>
      </c>
      <c r="F128" s="254" t="s">
        <v>507</v>
      </c>
      <c r="G128" s="72"/>
    </row>
    <row r="129">
      <c r="A129" s="221"/>
      <c r="B129" s="380">
        <v>105.0</v>
      </c>
      <c r="C129" s="382" t="s">
        <v>594</v>
      </c>
      <c r="D129" s="383" t="s">
        <v>776</v>
      </c>
      <c r="E129" s="384" t="s">
        <v>777</v>
      </c>
      <c r="F129" s="254" t="s">
        <v>507</v>
      </c>
      <c r="G129" s="72"/>
    </row>
    <row r="130">
      <c r="A130" s="221"/>
      <c r="B130" s="380">
        <v>106.0</v>
      </c>
      <c r="C130" s="381" t="s">
        <v>594</v>
      </c>
      <c r="D130" s="257" t="s">
        <v>778</v>
      </c>
      <c r="E130" s="258" t="s">
        <v>779</v>
      </c>
      <c r="F130" s="254" t="s">
        <v>507</v>
      </c>
      <c r="G130" s="72"/>
    </row>
    <row r="131">
      <c r="A131" s="221"/>
      <c r="B131" s="367" t="s">
        <v>780</v>
      </c>
      <c r="C131" s="242"/>
      <c r="D131" s="242"/>
      <c r="E131" s="243"/>
      <c r="F131" s="254"/>
      <c r="G131" s="72"/>
    </row>
    <row r="132">
      <c r="A132" s="221"/>
      <c r="B132" s="368">
        <v>107.0</v>
      </c>
      <c r="C132" s="369" t="s">
        <v>625</v>
      </c>
      <c r="D132" s="370" t="s">
        <v>781</v>
      </c>
      <c r="E132" s="371" t="s">
        <v>782</v>
      </c>
      <c r="F132" s="254" t="s">
        <v>526</v>
      </c>
      <c r="G132" s="72"/>
    </row>
    <row r="133">
      <c r="A133" s="221"/>
      <c r="B133" s="368">
        <v>108.0</v>
      </c>
      <c r="C133" s="372" t="s">
        <v>625</v>
      </c>
      <c r="D133" s="257" t="s">
        <v>783</v>
      </c>
      <c r="E133" s="258" t="s">
        <v>784</v>
      </c>
      <c r="F133" s="254" t="s">
        <v>526</v>
      </c>
      <c r="G133" s="72"/>
    </row>
    <row r="134">
      <c r="A134" s="221"/>
      <c r="B134" s="368">
        <v>109.0</v>
      </c>
      <c r="C134" s="369" t="s">
        <v>625</v>
      </c>
      <c r="D134" s="370" t="s">
        <v>785</v>
      </c>
      <c r="E134" s="371" t="s">
        <v>786</v>
      </c>
      <c r="F134" s="254" t="s">
        <v>526</v>
      </c>
      <c r="G134" s="72"/>
    </row>
    <row r="135">
      <c r="A135" s="221"/>
      <c r="B135" s="385" t="s">
        <v>787</v>
      </c>
      <c r="C135" s="242"/>
      <c r="D135" s="242"/>
      <c r="E135" s="243"/>
      <c r="F135" s="254"/>
      <c r="G135" s="72"/>
    </row>
    <row r="136">
      <c r="A136" s="221"/>
      <c r="B136" s="386">
        <v>110.0</v>
      </c>
      <c r="C136" s="387" t="s">
        <v>629</v>
      </c>
      <c r="D136" s="257" t="s">
        <v>788</v>
      </c>
      <c r="E136" s="258" t="s">
        <v>789</v>
      </c>
      <c r="F136" s="254" t="s">
        <v>526</v>
      </c>
      <c r="G136" s="72"/>
    </row>
    <row r="137">
      <c r="A137" s="221"/>
      <c r="B137" s="386">
        <v>111.0</v>
      </c>
      <c r="C137" s="388" t="s">
        <v>629</v>
      </c>
      <c r="D137" s="389" t="s">
        <v>790</v>
      </c>
      <c r="E137" s="390" t="s">
        <v>791</v>
      </c>
      <c r="F137" s="254" t="s">
        <v>526</v>
      </c>
      <c r="G137" s="72"/>
    </row>
    <row r="138">
      <c r="A138" s="221"/>
      <c r="B138" s="386">
        <v>112.0</v>
      </c>
      <c r="C138" s="387" t="s">
        <v>629</v>
      </c>
      <c r="D138" s="257" t="s">
        <v>590</v>
      </c>
      <c r="E138" s="258" t="s">
        <v>792</v>
      </c>
      <c r="F138" s="254" t="s">
        <v>526</v>
      </c>
      <c r="G138" s="72"/>
    </row>
    <row r="139">
      <c r="A139" s="221"/>
      <c r="B139" s="306" t="s">
        <v>793</v>
      </c>
      <c r="C139" s="242"/>
      <c r="D139" s="242"/>
      <c r="E139" s="243"/>
      <c r="F139" s="254"/>
      <c r="G139" s="72"/>
    </row>
    <row r="140">
      <c r="A140" s="221"/>
      <c r="B140" s="309">
        <v>113.0</v>
      </c>
      <c r="C140" s="311" t="s">
        <v>598</v>
      </c>
      <c r="D140" s="248" t="s">
        <v>794</v>
      </c>
      <c r="E140" s="250" t="s">
        <v>795</v>
      </c>
      <c r="F140" s="254" t="s">
        <v>526</v>
      </c>
      <c r="G140" s="72"/>
    </row>
    <row r="141">
      <c r="A141" s="221"/>
      <c r="B141" s="309">
        <v>114.0</v>
      </c>
      <c r="C141" s="312" t="s">
        <v>598</v>
      </c>
      <c r="D141" s="257" t="s">
        <v>796</v>
      </c>
      <c r="E141" s="258" t="s">
        <v>797</v>
      </c>
      <c r="F141" s="254" t="s">
        <v>526</v>
      </c>
      <c r="G141" s="72"/>
    </row>
    <row r="142">
      <c r="A142" s="221"/>
      <c r="B142" s="309">
        <v>115.0</v>
      </c>
      <c r="C142" s="311" t="s">
        <v>598</v>
      </c>
      <c r="D142" s="248" t="s">
        <v>798</v>
      </c>
      <c r="E142" s="250" t="s">
        <v>799</v>
      </c>
      <c r="F142" s="254" t="s">
        <v>526</v>
      </c>
      <c r="G142" s="72"/>
    </row>
    <row r="143">
      <c r="A143" s="221"/>
      <c r="B143" s="309">
        <v>116.0</v>
      </c>
      <c r="C143" s="312" t="s">
        <v>598</v>
      </c>
      <c r="D143" s="257" t="s">
        <v>800</v>
      </c>
      <c r="E143" s="258" t="s">
        <v>801</v>
      </c>
      <c r="F143" s="254" t="s">
        <v>526</v>
      </c>
      <c r="G143" s="72"/>
    </row>
    <row r="144">
      <c r="A144" s="221"/>
      <c r="B144" s="273" t="s">
        <v>802</v>
      </c>
      <c r="C144" s="242"/>
      <c r="D144" s="242"/>
      <c r="E144" s="243"/>
      <c r="F144" s="254"/>
      <c r="G144" s="72"/>
    </row>
    <row r="145">
      <c r="A145" s="221"/>
      <c r="B145" s="275">
        <v>117.0</v>
      </c>
      <c r="C145" s="280" t="s">
        <v>654</v>
      </c>
      <c r="D145" s="281" t="s">
        <v>803</v>
      </c>
      <c r="E145" s="283" t="s">
        <v>804</v>
      </c>
      <c r="F145" s="254" t="s">
        <v>511</v>
      </c>
      <c r="G145" s="72"/>
    </row>
    <row r="146">
      <c r="A146" s="221"/>
      <c r="B146" s="373" t="s">
        <v>805</v>
      </c>
      <c r="C146" s="242"/>
      <c r="D146" s="242"/>
      <c r="E146" s="243"/>
      <c r="F146" s="254"/>
      <c r="G146" s="72"/>
    </row>
    <row r="147">
      <c r="A147" s="221"/>
      <c r="B147" s="374">
        <v>118.0</v>
      </c>
      <c r="C147" s="378" t="s">
        <v>639</v>
      </c>
      <c r="D147" s="257" t="s">
        <v>806</v>
      </c>
      <c r="E147" s="258" t="s">
        <v>807</v>
      </c>
      <c r="F147" s="254" t="s">
        <v>526</v>
      </c>
      <c r="G147" s="72"/>
    </row>
    <row r="148">
      <c r="A148" s="221"/>
      <c r="B148" s="374">
        <v>119.0</v>
      </c>
      <c r="C148" s="375" t="s">
        <v>639</v>
      </c>
      <c r="D148" s="376" t="s">
        <v>808</v>
      </c>
      <c r="E148" s="377" t="s">
        <v>809</v>
      </c>
      <c r="F148" s="254" t="s">
        <v>526</v>
      </c>
      <c r="G148" s="72"/>
    </row>
    <row r="149">
      <c r="A149" s="221"/>
      <c r="B149" s="317" t="s">
        <v>810</v>
      </c>
      <c r="C149" s="242"/>
      <c r="D149" s="242"/>
      <c r="E149" s="243"/>
      <c r="F149" s="254"/>
      <c r="G149" s="72"/>
    </row>
    <row r="150">
      <c r="A150" s="221"/>
      <c r="B150" s="319">
        <v>120.0</v>
      </c>
      <c r="C150" s="325" t="s">
        <v>660</v>
      </c>
      <c r="D150" s="257" t="s">
        <v>811</v>
      </c>
      <c r="E150" s="258" t="s">
        <v>812</v>
      </c>
      <c r="F150" s="254" t="s">
        <v>490</v>
      </c>
      <c r="G150" s="72"/>
    </row>
    <row r="151">
      <c r="A151" s="221"/>
      <c r="B151" s="391" t="s">
        <v>813</v>
      </c>
      <c r="C151" s="242"/>
      <c r="D151" s="242"/>
      <c r="E151" s="243"/>
      <c r="F151" s="254"/>
      <c r="G151" s="72"/>
    </row>
    <row r="152">
      <c r="A152" s="221"/>
      <c r="B152" s="392">
        <v>121.0</v>
      </c>
      <c r="C152" s="393" t="s">
        <v>512</v>
      </c>
      <c r="D152" s="394" t="s">
        <v>814</v>
      </c>
      <c r="E152" s="395" t="s">
        <v>815</v>
      </c>
      <c r="F152" s="254" t="s">
        <v>490</v>
      </c>
      <c r="G152" s="72"/>
    </row>
    <row r="153">
      <c r="A153" s="221"/>
      <c r="B153" s="392">
        <v>122.0</v>
      </c>
      <c r="C153" s="396" t="s">
        <v>512</v>
      </c>
      <c r="D153" s="257" t="s">
        <v>816</v>
      </c>
      <c r="E153" s="258" t="s">
        <v>817</v>
      </c>
      <c r="F153" s="254" t="s">
        <v>490</v>
      </c>
      <c r="G153" s="72"/>
    </row>
    <row r="154">
      <c r="A154" s="221"/>
      <c r="B154" s="392">
        <v>123.0</v>
      </c>
      <c r="C154" s="393" t="s">
        <v>512</v>
      </c>
      <c r="D154" s="394" t="s">
        <v>818</v>
      </c>
      <c r="E154" s="395" t="s">
        <v>819</v>
      </c>
      <c r="F154" s="254" t="s">
        <v>490</v>
      </c>
      <c r="G154" s="72"/>
    </row>
    <row r="155">
      <c r="A155" s="221"/>
      <c r="B155" s="392">
        <v>124.0</v>
      </c>
      <c r="C155" s="396" t="s">
        <v>512</v>
      </c>
      <c r="D155" s="257" t="s">
        <v>820</v>
      </c>
      <c r="E155" s="258" t="s">
        <v>821</v>
      </c>
      <c r="F155" s="254" t="s">
        <v>490</v>
      </c>
      <c r="G155" s="72"/>
    </row>
    <row r="156">
      <c r="A156" s="221"/>
      <c r="B156" s="392">
        <v>125.0</v>
      </c>
      <c r="C156" s="393" t="s">
        <v>512</v>
      </c>
      <c r="D156" s="394" t="s">
        <v>822</v>
      </c>
      <c r="E156" s="395" t="s">
        <v>823</v>
      </c>
      <c r="F156" s="254" t="s">
        <v>490</v>
      </c>
      <c r="G156" s="72"/>
    </row>
    <row r="157">
      <c r="A157" s="221"/>
      <c r="B157" s="392">
        <v>126.0</v>
      </c>
      <c r="C157" s="396" t="s">
        <v>512</v>
      </c>
      <c r="D157" s="257" t="s">
        <v>824</v>
      </c>
      <c r="E157" s="258" t="s">
        <v>825</v>
      </c>
      <c r="F157" s="254" t="s">
        <v>490</v>
      </c>
      <c r="G157" s="72"/>
    </row>
    <row r="158">
      <c r="A158" s="221"/>
      <c r="B158" s="392">
        <v>127.0</v>
      </c>
      <c r="C158" s="393" t="s">
        <v>512</v>
      </c>
      <c r="D158" s="394" t="s">
        <v>826</v>
      </c>
      <c r="E158" s="395" t="s">
        <v>827</v>
      </c>
      <c r="F158" s="254" t="s">
        <v>490</v>
      </c>
      <c r="G158" s="72"/>
    </row>
    <row r="159">
      <c r="A159" s="221"/>
      <c r="B159" s="392">
        <v>128.0</v>
      </c>
      <c r="C159" s="396" t="s">
        <v>512</v>
      </c>
      <c r="D159" s="257" t="s">
        <v>828</v>
      </c>
      <c r="E159" s="258" t="s">
        <v>829</v>
      </c>
      <c r="F159" s="254" t="s">
        <v>490</v>
      </c>
      <c r="G159" s="72"/>
    </row>
    <row r="160">
      <c r="A160" s="221"/>
      <c r="B160" s="392">
        <v>129.0</v>
      </c>
      <c r="C160" s="393" t="s">
        <v>512</v>
      </c>
      <c r="D160" s="394" t="s">
        <v>830</v>
      </c>
      <c r="E160" s="395" t="s">
        <v>831</v>
      </c>
      <c r="F160" s="254" t="s">
        <v>490</v>
      </c>
      <c r="G160" s="72"/>
    </row>
    <row r="161">
      <c r="A161" s="221"/>
      <c r="B161" s="392">
        <v>130.0</v>
      </c>
      <c r="C161" s="396" t="s">
        <v>512</v>
      </c>
      <c r="D161" s="257" t="s">
        <v>832</v>
      </c>
      <c r="E161" s="258" t="s">
        <v>833</v>
      </c>
      <c r="F161" s="254" t="s">
        <v>490</v>
      </c>
      <c r="G161" s="72"/>
    </row>
    <row r="162">
      <c r="A162" s="221"/>
      <c r="B162" s="241" t="s">
        <v>834</v>
      </c>
      <c r="C162" s="242"/>
      <c r="D162" s="242"/>
      <c r="E162" s="243"/>
      <c r="F162" s="254"/>
      <c r="G162" s="72"/>
    </row>
    <row r="163">
      <c r="A163" s="221"/>
      <c r="B163" s="238">
        <v>131.0</v>
      </c>
      <c r="C163" s="246" t="s">
        <v>558</v>
      </c>
      <c r="D163" s="248" t="s">
        <v>836</v>
      </c>
      <c r="E163" s="250" t="s">
        <v>837</v>
      </c>
      <c r="F163" s="254" t="s">
        <v>507</v>
      </c>
      <c r="G163" s="72"/>
    </row>
    <row r="164">
      <c r="A164" s="221"/>
      <c r="B164" s="238">
        <v>132.0</v>
      </c>
      <c r="C164" s="255" t="s">
        <v>558</v>
      </c>
      <c r="D164" s="257" t="s">
        <v>838</v>
      </c>
      <c r="E164" s="258" t="s">
        <v>839</v>
      </c>
      <c r="F164" s="254" t="s">
        <v>507</v>
      </c>
      <c r="G164" s="72"/>
    </row>
    <row r="165">
      <c r="A165" s="221"/>
      <c r="B165" s="238">
        <v>133.0</v>
      </c>
      <c r="C165" s="246" t="s">
        <v>558</v>
      </c>
      <c r="D165" s="248" t="s">
        <v>840</v>
      </c>
      <c r="E165" s="250" t="s">
        <v>841</v>
      </c>
      <c r="F165" s="254" t="s">
        <v>490</v>
      </c>
      <c r="G165" s="72"/>
    </row>
    <row r="166">
      <c r="A166" s="221"/>
      <c r="B166" s="238">
        <v>134.0</v>
      </c>
      <c r="C166" s="255" t="s">
        <v>558</v>
      </c>
      <c r="D166" s="257" t="s">
        <v>842</v>
      </c>
      <c r="E166" s="258" t="s">
        <v>844</v>
      </c>
      <c r="F166" s="254" t="s">
        <v>490</v>
      </c>
      <c r="G166" s="72"/>
    </row>
    <row r="167">
      <c r="A167" s="221"/>
      <c r="B167" s="238">
        <v>135.0</v>
      </c>
      <c r="C167" s="246" t="s">
        <v>558</v>
      </c>
      <c r="D167" s="248" t="s">
        <v>845</v>
      </c>
      <c r="E167" s="250" t="s">
        <v>846</v>
      </c>
      <c r="F167" s="254" t="s">
        <v>490</v>
      </c>
      <c r="G167" s="72"/>
    </row>
    <row r="168">
      <c r="A168" s="221"/>
      <c r="B168" s="238">
        <v>136.0</v>
      </c>
      <c r="C168" s="255" t="s">
        <v>558</v>
      </c>
      <c r="D168" s="257" t="s">
        <v>847</v>
      </c>
      <c r="E168" s="258" t="s">
        <v>848</v>
      </c>
      <c r="F168" s="254" t="s">
        <v>507</v>
      </c>
      <c r="G168" s="72"/>
    </row>
    <row r="169">
      <c r="A169" s="221"/>
      <c r="B169" s="367" t="s">
        <v>849</v>
      </c>
      <c r="C169" s="242"/>
      <c r="D169" s="242"/>
      <c r="E169" s="243"/>
      <c r="F169" s="254"/>
      <c r="G169" s="72"/>
    </row>
    <row r="170">
      <c r="A170" s="221"/>
      <c r="B170" s="368">
        <v>137.0</v>
      </c>
      <c r="C170" s="369" t="s">
        <v>634</v>
      </c>
      <c r="D170" s="370" t="s">
        <v>851</v>
      </c>
      <c r="E170" s="371" t="s">
        <v>852</v>
      </c>
      <c r="F170" s="254" t="s">
        <v>490</v>
      </c>
      <c r="G170" s="72"/>
    </row>
    <row r="171">
      <c r="A171" s="221"/>
      <c r="B171" s="368">
        <v>138.0</v>
      </c>
      <c r="C171" s="372" t="s">
        <v>634</v>
      </c>
      <c r="D171" s="257" t="s">
        <v>853</v>
      </c>
      <c r="E171" s="258" t="s">
        <v>854</v>
      </c>
      <c r="F171" s="254" t="s">
        <v>490</v>
      </c>
      <c r="G171" s="72"/>
    </row>
    <row r="172">
      <c r="A172" s="221"/>
      <c r="B172" s="368">
        <v>139.0</v>
      </c>
      <c r="C172" s="369" t="s">
        <v>634</v>
      </c>
      <c r="D172" s="370" t="s">
        <v>855</v>
      </c>
      <c r="E172" s="371" t="s">
        <v>856</v>
      </c>
      <c r="F172" s="254" t="s">
        <v>490</v>
      </c>
      <c r="G172" s="72"/>
    </row>
    <row r="173">
      <c r="A173" s="221"/>
      <c r="B173" s="289" t="s">
        <v>857</v>
      </c>
      <c r="C173" s="242"/>
      <c r="D173" s="242"/>
      <c r="E173" s="243"/>
      <c r="F173" s="254"/>
      <c r="G173" s="72"/>
    </row>
    <row r="174">
      <c r="A174" s="221"/>
      <c r="B174" s="291">
        <v>140.0</v>
      </c>
      <c r="C174" s="299" t="s">
        <v>642</v>
      </c>
      <c r="D174" s="257" t="s">
        <v>858</v>
      </c>
      <c r="E174" s="258" t="s">
        <v>859</v>
      </c>
      <c r="F174" s="254" t="s">
        <v>482</v>
      </c>
      <c r="G174" s="72"/>
    </row>
    <row r="175">
      <c r="A175" s="221"/>
      <c r="B175" s="291">
        <v>141.0</v>
      </c>
      <c r="C175" s="293" t="s">
        <v>642</v>
      </c>
      <c r="D175" s="295" t="s">
        <v>860</v>
      </c>
      <c r="E175" s="297" t="s">
        <v>861</v>
      </c>
      <c r="F175" s="254" t="s">
        <v>482</v>
      </c>
      <c r="G175" s="72"/>
    </row>
    <row r="176">
      <c r="A176" s="221"/>
      <c r="B176" s="385" t="s">
        <v>862</v>
      </c>
      <c r="C176" s="242"/>
      <c r="D176" s="242"/>
      <c r="E176" s="243"/>
      <c r="F176" s="254"/>
      <c r="G176" s="72"/>
    </row>
    <row r="177">
      <c r="A177" s="221"/>
      <c r="B177" s="386">
        <v>142.0</v>
      </c>
      <c r="C177" s="387" t="s">
        <v>671</v>
      </c>
      <c r="D177" s="257" t="s">
        <v>865</v>
      </c>
      <c r="E177" s="258" t="s">
        <v>866</v>
      </c>
      <c r="F177" s="254" t="s">
        <v>511</v>
      </c>
      <c r="G177" s="72"/>
    </row>
    <row r="178">
      <c r="A178" s="221"/>
      <c r="B178" s="345" t="s">
        <v>868</v>
      </c>
      <c r="C178" s="242"/>
      <c r="D178" s="242"/>
      <c r="E178" s="243"/>
      <c r="F178" s="254"/>
      <c r="G178" s="72"/>
    </row>
    <row r="179">
      <c r="A179" s="221"/>
      <c r="B179" s="347">
        <v>143.0</v>
      </c>
      <c r="C179" s="349" t="s">
        <v>635</v>
      </c>
      <c r="D179" s="350" t="s">
        <v>869</v>
      </c>
      <c r="E179" s="351" t="s">
        <v>870</v>
      </c>
      <c r="F179" s="254" t="s">
        <v>511</v>
      </c>
      <c r="G179" s="72"/>
    </row>
    <row r="180">
      <c r="A180" s="221"/>
      <c r="B180" s="347">
        <v>144.0</v>
      </c>
      <c r="C180" s="352" t="s">
        <v>635</v>
      </c>
      <c r="D180" s="257" t="s">
        <v>871</v>
      </c>
      <c r="E180" s="258" t="s">
        <v>872</v>
      </c>
      <c r="F180" s="254" t="s">
        <v>511</v>
      </c>
      <c r="G180" s="72"/>
    </row>
    <row r="181">
      <c r="A181" s="221"/>
      <c r="B181" s="347">
        <v>145.0</v>
      </c>
      <c r="C181" s="349" t="s">
        <v>635</v>
      </c>
      <c r="D181" s="350" t="s">
        <v>873</v>
      </c>
      <c r="E181" s="351" t="s">
        <v>874</v>
      </c>
      <c r="F181" s="254" t="s">
        <v>511</v>
      </c>
      <c r="G181" s="72"/>
    </row>
    <row r="182">
      <c r="A182" s="221"/>
      <c r="B182" s="273" t="s">
        <v>875</v>
      </c>
      <c r="C182" s="242"/>
      <c r="D182" s="242"/>
      <c r="E182" s="243"/>
      <c r="F182" s="254"/>
      <c r="G182" s="72"/>
    </row>
    <row r="183">
      <c r="A183" s="221"/>
      <c r="B183" s="275">
        <v>146.0</v>
      </c>
      <c r="C183" s="277" t="s">
        <v>644</v>
      </c>
      <c r="D183" s="257" t="s">
        <v>876</v>
      </c>
      <c r="E183" s="258" t="s">
        <v>877</v>
      </c>
      <c r="F183" s="254" t="s">
        <v>511</v>
      </c>
      <c r="G183" s="72"/>
    </row>
    <row r="184">
      <c r="A184" s="221"/>
      <c r="B184" s="275">
        <v>147.0</v>
      </c>
      <c r="C184" s="280" t="s">
        <v>644</v>
      </c>
      <c r="D184" s="281" t="s">
        <v>878</v>
      </c>
      <c r="E184" s="283" t="s">
        <v>879</v>
      </c>
      <c r="F184" s="254" t="s">
        <v>511</v>
      </c>
      <c r="G184" s="72"/>
    </row>
    <row r="185">
      <c r="A185" s="221"/>
      <c r="B185" s="407" t="s">
        <v>880</v>
      </c>
      <c r="C185" s="242"/>
      <c r="D185" s="242"/>
      <c r="E185" s="243"/>
      <c r="F185" s="254"/>
      <c r="G185" s="72"/>
    </row>
    <row r="186">
      <c r="A186" s="221"/>
      <c r="B186" s="409">
        <v>148.0</v>
      </c>
      <c r="C186" s="410" t="s">
        <v>645</v>
      </c>
      <c r="D186" s="257" t="s">
        <v>881</v>
      </c>
      <c r="E186" s="258" t="s">
        <v>882</v>
      </c>
      <c r="F186" s="254" t="s">
        <v>511</v>
      </c>
      <c r="G186" s="72"/>
    </row>
    <row r="187">
      <c r="A187" s="221"/>
      <c r="B187" s="409">
        <v>149.0</v>
      </c>
      <c r="C187" s="411" t="s">
        <v>645</v>
      </c>
      <c r="D187" s="394" t="s">
        <v>883</v>
      </c>
      <c r="E187" s="395" t="s">
        <v>884</v>
      </c>
      <c r="F187" s="254" t="s">
        <v>511</v>
      </c>
      <c r="G187" s="72"/>
    </row>
    <row r="188">
      <c r="A188" s="221"/>
      <c r="B188" s="407" t="s">
        <v>885</v>
      </c>
      <c r="C188" s="242"/>
      <c r="D188" s="242"/>
      <c r="E188" s="243"/>
      <c r="F188" s="254"/>
      <c r="G188" s="72"/>
    </row>
    <row r="189">
      <c r="A189" s="221"/>
      <c r="B189" s="409">
        <v>150.0</v>
      </c>
      <c r="C189" s="410" t="s">
        <v>648</v>
      </c>
      <c r="D189" s="257" t="s">
        <v>886</v>
      </c>
      <c r="E189" s="258" t="s">
        <v>887</v>
      </c>
      <c r="F189" s="254" t="s">
        <v>511</v>
      </c>
      <c r="G189" s="72"/>
    </row>
    <row r="190">
      <c r="A190" s="221"/>
      <c r="B190" s="409">
        <v>151.0</v>
      </c>
      <c r="C190" s="411" t="s">
        <v>648</v>
      </c>
      <c r="D190" s="394" t="s">
        <v>888</v>
      </c>
      <c r="E190" s="395" t="s">
        <v>889</v>
      </c>
      <c r="F190" s="254" t="s">
        <v>511</v>
      </c>
      <c r="G190" s="72"/>
    </row>
    <row r="191">
      <c r="A191" s="221"/>
      <c r="B191" s="413" t="s">
        <v>890</v>
      </c>
      <c r="F191" s="226"/>
      <c r="G191" s="72"/>
    </row>
    <row r="192">
      <c r="A192" s="221"/>
      <c r="B192" s="221"/>
      <c r="C192" s="221"/>
      <c r="D192" s="221"/>
      <c r="E192" s="221"/>
      <c r="F192" s="226"/>
      <c r="G192" s="72"/>
    </row>
    <row r="193">
      <c r="A193" s="221"/>
      <c r="B193" s="221"/>
      <c r="C193" s="221"/>
      <c r="D193" s="221"/>
      <c r="E193" s="221"/>
      <c r="F193" s="226"/>
      <c r="G193" s="72"/>
    </row>
    <row r="194">
      <c r="A194" s="221"/>
      <c r="B194" s="221"/>
      <c r="C194" s="221"/>
      <c r="D194" s="221"/>
      <c r="E194" s="221"/>
      <c r="F194" s="226"/>
      <c r="G194" s="72"/>
    </row>
    <row r="195">
      <c r="A195" s="221"/>
      <c r="B195" s="221"/>
      <c r="C195" s="221"/>
      <c r="D195" s="221"/>
      <c r="E195" s="221"/>
      <c r="F195" s="226"/>
      <c r="G195" s="72"/>
    </row>
    <row r="196">
      <c r="A196" s="221"/>
      <c r="B196" s="221"/>
      <c r="C196" s="221"/>
      <c r="D196" s="221"/>
      <c r="E196" s="221"/>
      <c r="F196" s="226"/>
      <c r="G196" s="72"/>
    </row>
    <row r="197">
      <c r="A197" s="221"/>
      <c r="B197" s="221"/>
      <c r="C197" s="221"/>
      <c r="D197" s="221"/>
      <c r="E197" s="221"/>
      <c r="F197" s="226"/>
      <c r="G197" s="72"/>
    </row>
  </sheetData>
  <mergeCells count="36">
    <mergeCell ref="B1:E4"/>
    <mergeCell ref="B5:E5"/>
    <mergeCell ref="B8:E8"/>
    <mergeCell ref="F8:G8"/>
    <mergeCell ref="B32:E32"/>
    <mergeCell ref="B42:E42"/>
    <mergeCell ref="B53:E53"/>
    <mergeCell ref="B58:E58"/>
    <mergeCell ref="B61:E61"/>
    <mergeCell ref="B72:E72"/>
    <mergeCell ref="B77:E77"/>
    <mergeCell ref="B86:E86"/>
    <mergeCell ref="B91:E91"/>
    <mergeCell ref="B95:E95"/>
    <mergeCell ref="B99:E99"/>
    <mergeCell ref="B106:E106"/>
    <mergeCell ref="B110:E110"/>
    <mergeCell ref="B116:E116"/>
    <mergeCell ref="B121:E121"/>
    <mergeCell ref="B126:E126"/>
    <mergeCell ref="B131:E131"/>
    <mergeCell ref="B169:E169"/>
    <mergeCell ref="B173:E173"/>
    <mergeCell ref="B176:E176"/>
    <mergeCell ref="B178:E178"/>
    <mergeCell ref="B182:E182"/>
    <mergeCell ref="B185:E185"/>
    <mergeCell ref="B188:E188"/>
    <mergeCell ref="B191:E191"/>
    <mergeCell ref="B135:E135"/>
    <mergeCell ref="B139:E139"/>
    <mergeCell ref="B144:E144"/>
    <mergeCell ref="B146:E146"/>
    <mergeCell ref="B149:E149"/>
    <mergeCell ref="B151:E151"/>
    <mergeCell ref="B162:E162"/>
  </mergeCells>
  <conditionalFormatting sqref="F9:F31 F33:F41 F43:F52 F54:F57 F59:F60 F62:F71 F73:F76 F78:F85 F87:F90 F92:F94 F96:F98 F100:F105 F107:F109 F111:F115 F117:F120 F122:F190">
    <cfRule type="notContainsBlanks" dxfId="0" priority="1">
      <formula>LEN(TRIM(F9))&gt;0</formula>
    </cfRule>
  </conditionalFormatting>
  <dataValidations>
    <dataValidation type="list" allowBlank="1" showErrorMessage="1" sqref="F9:F31 F33:F41 F43:F52 F54:F57 F59:F60 F62:F71 F73:F76 F78:F85 F87:F90 F92:F94 F96:F98 F100:F105 F107:F109 F111:F115 F117:F120 F122:F125 F127:F130 F132:F134 F136:F138 F140:F143 F145 F147:F148 F150 F152:F161 F163:F168 F170:F172 F174:F175 F177 F179:F181 F183:F184 F186:F187 F189:F190">
      <formula1>"Completed,In Progress,Not Started,Completed &amp; Used,Requires API,Additional Costs Apply,Will not be Used"</formula1>
    </dataValidation>
  </dataValidations>
  <printOptions/>
  <pageMargins bottom="1.0" footer="0.0" header="0.0" left="0.75" right="0.75" top="1.0"/>
  <pageSetup paperSize="9" orientation="portrait"/>
  <drawing r:id="rId4"/>
  <legacyDrawing r:id="rId5"/>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showGridLines="0" workbookViewId="0"/>
  </sheetViews>
  <sheetFormatPr customHeight="1" defaultColWidth="12.63" defaultRowHeight="15.75"/>
  <cols>
    <col customWidth="1" min="1" max="1" width="1.38"/>
    <col customWidth="1" min="2" max="2" width="7.38"/>
    <col customWidth="1" min="3" max="3" width="22.25"/>
    <col customWidth="1" min="4" max="4" width="42.13"/>
    <col customWidth="1" min="5" max="5" width="74.38"/>
    <col customWidth="1" min="6" max="6" width="21.38"/>
    <col customWidth="1" min="7" max="7" width="30.25"/>
  </cols>
  <sheetData>
    <row r="1">
      <c r="A1" s="221"/>
      <c r="B1" s="224" t="s">
        <v>472</v>
      </c>
      <c r="C1" s="209"/>
      <c r="D1" s="209"/>
      <c r="E1" s="212"/>
      <c r="F1" s="226"/>
      <c r="G1" s="72"/>
    </row>
    <row r="2">
      <c r="A2" s="221"/>
      <c r="B2" s="228"/>
      <c r="E2" s="231"/>
      <c r="F2" s="226"/>
      <c r="G2" s="72"/>
    </row>
    <row r="3">
      <c r="A3" s="221"/>
      <c r="B3" s="228"/>
      <c r="E3" s="231"/>
      <c r="F3" s="226"/>
      <c r="G3" s="72"/>
    </row>
    <row r="4">
      <c r="A4" s="221"/>
      <c r="B4" s="214"/>
      <c r="C4" s="215"/>
      <c r="D4" s="215"/>
      <c r="E4" s="216"/>
      <c r="F4" s="226"/>
      <c r="G4" s="72"/>
    </row>
    <row r="5">
      <c r="A5" s="221"/>
      <c r="B5" s="235" t="s">
        <v>477</v>
      </c>
      <c r="C5" s="236"/>
      <c r="D5" s="236"/>
      <c r="E5" s="237"/>
      <c r="F5" s="226"/>
      <c r="G5" s="72"/>
    </row>
    <row r="6">
      <c r="A6" s="221"/>
      <c r="B6" s="221"/>
      <c r="C6" s="221"/>
      <c r="D6" s="221"/>
      <c r="E6" s="221"/>
      <c r="F6" s="226"/>
      <c r="G6" s="72"/>
    </row>
    <row r="7">
      <c r="A7" s="221"/>
      <c r="B7" s="238" t="s">
        <v>459</v>
      </c>
      <c r="C7" s="238" t="s">
        <v>461</v>
      </c>
      <c r="D7" s="238" t="s">
        <v>479</v>
      </c>
      <c r="E7" s="238" t="s">
        <v>480</v>
      </c>
      <c r="F7" s="239" t="s">
        <v>481</v>
      </c>
      <c r="G7" s="240"/>
    </row>
    <row r="8">
      <c r="A8" s="221"/>
      <c r="B8" s="241" t="s">
        <v>483</v>
      </c>
      <c r="C8" s="242"/>
      <c r="D8" s="242"/>
      <c r="E8" s="243"/>
      <c r="F8" s="241"/>
      <c r="G8" s="243"/>
    </row>
    <row r="9">
      <c r="A9" s="221"/>
      <c r="B9" s="238">
        <v>1.0</v>
      </c>
      <c r="C9" s="246" t="s">
        <v>474</v>
      </c>
      <c r="D9" s="248" t="s">
        <v>485</v>
      </c>
      <c r="E9" s="250" t="s">
        <v>486</v>
      </c>
      <c r="F9" s="254" t="s">
        <v>490</v>
      </c>
      <c r="G9" s="72"/>
    </row>
    <row r="10">
      <c r="A10" s="221"/>
      <c r="B10" s="238">
        <v>2.0</v>
      </c>
      <c r="C10" s="255" t="s">
        <v>474</v>
      </c>
      <c r="D10" s="257" t="s">
        <v>493</v>
      </c>
      <c r="E10" s="258" t="s">
        <v>496</v>
      </c>
      <c r="F10" s="254" t="s">
        <v>490</v>
      </c>
      <c r="G10" s="72"/>
    </row>
    <row r="11">
      <c r="A11" s="221"/>
      <c r="B11" s="238">
        <v>3.0</v>
      </c>
      <c r="C11" s="246" t="s">
        <v>474</v>
      </c>
      <c r="D11" s="248" t="s">
        <v>500</v>
      </c>
      <c r="E11" s="250" t="s">
        <v>503</v>
      </c>
      <c r="F11" s="254" t="s">
        <v>490</v>
      </c>
      <c r="G11" s="72"/>
    </row>
    <row r="12">
      <c r="A12" s="221"/>
      <c r="B12" s="238">
        <v>8.0</v>
      </c>
      <c r="C12" s="255" t="s">
        <v>474</v>
      </c>
      <c r="D12" s="257" t="s">
        <v>524</v>
      </c>
      <c r="E12" s="258" t="s">
        <v>525</v>
      </c>
      <c r="F12" s="254" t="s">
        <v>526</v>
      </c>
      <c r="G12" s="72"/>
    </row>
    <row r="13">
      <c r="A13" s="221"/>
      <c r="B13" s="238">
        <v>9.0</v>
      </c>
      <c r="C13" s="246" t="s">
        <v>474</v>
      </c>
      <c r="D13" s="248" t="s">
        <v>527</v>
      </c>
      <c r="E13" s="250" t="s">
        <v>528</v>
      </c>
      <c r="F13" s="254" t="s">
        <v>507</v>
      </c>
      <c r="G13" s="72"/>
    </row>
    <row r="14">
      <c r="A14" s="221"/>
      <c r="B14" s="238">
        <v>10.0</v>
      </c>
      <c r="C14" s="255" t="s">
        <v>474</v>
      </c>
      <c r="D14" s="257" t="s">
        <v>529</v>
      </c>
      <c r="E14" s="258" t="s">
        <v>531</v>
      </c>
      <c r="F14" s="254" t="s">
        <v>526</v>
      </c>
      <c r="G14" s="72"/>
    </row>
    <row r="15">
      <c r="A15" s="221"/>
      <c r="B15" s="238">
        <v>11.0</v>
      </c>
      <c r="C15" s="246" t="s">
        <v>474</v>
      </c>
      <c r="D15" s="248" t="s">
        <v>532</v>
      </c>
      <c r="E15" s="250" t="s">
        <v>533</v>
      </c>
      <c r="F15" s="254" t="s">
        <v>490</v>
      </c>
      <c r="G15" s="72"/>
    </row>
    <row r="16">
      <c r="A16" s="221"/>
      <c r="B16" s="238">
        <v>12.0</v>
      </c>
      <c r="C16" s="255" t="s">
        <v>474</v>
      </c>
      <c r="D16" s="257" t="s">
        <v>534</v>
      </c>
      <c r="E16" s="258" t="s">
        <v>535</v>
      </c>
      <c r="F16" s="254" t="s">
        <v>526</v>
      </c>
      <c r="G16" s="72"/>
    </row>
    <row r="17">
      <c r="A17" s="221"/>
      <c r="B17" s="238">
        <v>14.0</v>
      </c>
      <c r="C17" s="255" t="s">
        <v>474</v>
      </c>
      <c r="D17" s="257" t="s">
        <v>538</v>
      </c>
      <c r="E17" s="258" t="s">
        <v>539</v>
      </c>
      <c r="F17" s="254" t="s">
        <v>507</v>
      </c>
      <c r="G17" s="72"/>
    </row>
    <row r="18">
      <c r="A18" s="221"/>
      <c r="B18" s="238">
        <v>15.0</v>
      </c>
      <c r="C18" s="246" t="s">
        <v>474</v>
      </c>
      <c r="D18" s="248" t="s">
        <v>541</v>
      </c>
      <c r="E18" s="250" t="s">
        <v>542</v>
      </c>
      <c r="F18" s="254" t="s">
        <v>507</v>
      </c>
      <c r="G18" s="72"/>
    </row>
    <row r="19">
      <c r="A19" s="221"/>
      <c r="B19" s="238">
        <v>16.0</v>
      </c>
      <c r="C19" s="255" t="s">
        <v>474</v>
      </c>
      <c r="D19" s="257" t="s">
        <v>543</v>
      </c>
      <c r="E19" s="258" t="s">
        <v>544</v>
      </c>
      <c r="F19" s="254" t="s">
        <v>526</v>
      </c>
      <c r="G19" s="72"/>
    </row>
    <row r="20">
      <c r="A20" s="221"/>
      <c r="B20" s="238">
        <v>17.0</v>
      </c>
      <c r="C20" s="246" t="s">
        <v>474</v>
      </c>
      <c r="D20" s="248" t="s">
        <v>546</v>
      </c>
      <c r="E20" s="250" t="s">
        <v>547</v>
      </c>
      <c r="F20" s="254" t="s">
        <v>526</v>
      </c>
      <c r="G20" s="72"/>
    </row>
    <row r="21">
      <c r="A21" s="221"/>
      <c r="B21" s="238">
        <v>18.0</v>
      </c>
      <c r="C21" s="255" t="s">
        <v>474</v>
      </c>
      <c r="D21" s="257" t="s">
        <v>549</v>
      </c>
      <c r="E21" s="258" t="s">
        <v>550</v>
      </c>
      <c r="F21" s="254" t="s">
        <v>507</v>
      </c>
      <c r="G21" s="72"/>
    </row>
    <row r="22">
      <c r="A22" s="221"/>
      <c r="B22" s="238">
        <v>19.0</v>
      </c>
      <c r="C22" s="246" t="s">
        <v>474</v>
      </c>
      <c r="D22" s="248" t="s">
        <v>552</v>
      </c>
      <c r="E22" s="250" t="s">
        <v>553</v>
      </c>
      <c r="F22" s="254" t="s">
        <v>507</v>
      </c>
      <c r="G22" s="72"/>
    </row>
    <row r="23">
      <c r="A23" s="221"/>
      <c r="B23" s="238">
        <v>20.0</v>
      </c>
      <c r="C23" s="255" t="s">
        <v>474</v>
      </c>
      <c r="D23" s="257" t="s">
        <v>555</v>
      </c>
      <c r="E23" s="258" t="s">
        <v>556</v>
      </c>
      <c r="F23" s="254" t="s">
        <v>507</v>
      </c>
      <c r="G23" s="72"/>
    </row>
    <row r="24">
      <c r="A24" s="221"/>
      <c r="B24" s="238">
        <v>21.0</v>
      </c>
      <c r="C24" s="246" t="s">
        <v>474</v>
      </c>
      <c r="D24" s="248" t="s">
        <v>557</v>
      </c>
      <c r="E24" s="250" t="s">
        <v>559</v>
      </c>
      <c r="F24" s="254" t="s">
        <v>526</v>
      </c>
      <c r="G24" s="72"/>
    </row>
    <row r="25">
      <c r="A25" s="221"/>
      <c r="B25" s="238">
        <v>22.0</v>
      </c>
      <c r="C25" s="255" t="s">
        <v>474</v>
      </c>
      <c r="D25" s="257" t="s">
        <v>560</v>
      </c>
      <c r="E25" s="258" t="s">
        <v>561</v>
      </c>
      <c r="F25" s="254" t="s">
        <v>507</v>
      </c>
      <c r="G25" s="72"/>
    </row>
    <row r="26">
      <c r="A26" s="221"/>
      <c r="B26" s="238">
        <v>23.0</v>
      </c>
      <c r="C26" s="246" t="s">
        <v>474</v>
      </c>
      <c r="D26" s="248" t="s">
        <v>563</v>
      </c>
      <c r="E26" s="250" t="s">
        <v>564</v>
      </c>
      <c r="F26" s="254" t="s">
        <v>526</v>
      </c>
      <c r="G26" s="72"/>
    </row>
    <row r="27">
      <c r="A27" s="221"/>
      <c r="B27" s="306" t="s">
        <v>620</v>
      </c>
      <c r="C27" s="242"/>
      <c r="D27" s="242"/>
      <c r="E27" s="243"/>
      <c r="F27" s="226"/>
      <c r="G27" s="72"/>
    </row>
    <row r="28">
      <c r="A28" s="221"/>
      <c r="B28" s="309">
        <v>43.0</v>
      </c>
      <c r="C28" s="311" t="s">
        <v>567</v>
      </c>
      <c r="D28" s="248" t="s">
        <v>622</v>
      </c>
      <c r="E28" s="250" t="s">
        <v>623</v>
      </c>
      <c r="F28" s="254" t="s">
        <v>507</v>
      </c>
      <c r="G28" s="72"/>
    </row>
    <row r="29">
      <c r="A29" s="221"/>
      <c r="B29" s="309">
        <v>44.0</v>
      </c>
      <c r="C29" s="312" t="s">
        <v>567</v>
      </c>
      <c r="D29" s="257" t="s">
        <v>626</v>
      </c>
      <c r="E29" s="258" t="s">
        <v>627</v>
      </c>
      <c r="F29" s="254" t="s">
        <v>490</v>
      </c>
      <c r="G29" s="72"/>
    </row>
    <row r="30">
      <c r="A30" s="221"/>
      <c r="B30" s="309">
        <v>45.0</v>
      </c>
      <c r="C30" s="311" t="s">
        <v>567</v>
      </c>
      <c r="D30" s="248" t="s">
        <v>628</v>
      </c>
      <c r="E30" s="250" t="s">
        <v>630</v>
      </c>
      <c r="F30" s="254" t="s">
        <v>507</v>
      </c>
      <c r="G30" s="72"/>
    </row>
    <row r="31">
      <c r="A31" s="221"/>
      <c r="B31" s="309">
        <v>46.0</v>
      </c>
      <c r="C31" s="312" t="s">
        <v>567</v>
      </c>
      <c r="D31" s="257" t="s">
        <v>631</v>
      </c>
      <c r="E31" s="258" t="s">
        <v>632</v>
      </c>
      <c r="F31" s="254" t="s">
        <v>507</v>
      </c>
      <c r="G31" s="72"/>
    </row>
    <row r="32">
      <c r="A32" s="221"/>
      <c r="B32" s="317" t="s">
        <v>633</v>
      </c>
      <c r="C32" s="242"/>
      <c r="D32" s="242"/>
      <c r="E32" s="243"/>
      <c r="F32" s="226"/>
      <c r="G32" s="72"/>
    </row>
    <row r="33">
      <c r="A33" s="221"/>
      <c r="B33" s="319">
        <v>47.0</v>
      </c>
      <c r="C33" s="320" t="s">
        <v>636</v>
      </c>
      <c r="D33" s="322" t="s">
        <v>637</v>
      </c>
      <c r="E33" s="323" t="s">
        <v>638</v>
      </c>
      <c r="F33" s="254" t="s">
        <v>490</v>
      </c>
      <c r="G33" s="72"/>
    </row>
    <row r="34">
      <c r="A34" s="221"/>
      <c r="B34" s="319">
        <v>48.0</v>
      </c>
      <c r="C34" s="325" t="s">
        <v>636</v>
      </c>
      <c r="D34" s="257" t="s">
        <v>640</v>
      </c>
      <c r="E34" s="258" t="s">
        <v>641</v>
      </c>
      <c r="F34" s="254" t="s">
        <v>490</v>
      </c>
      <c r="G34" s="72"/>
    </row>
    <row r="35">
      <c r="A35" s="221"/>
      <c r="B35" s="326" t="s">
        <v>643</v>
      </c>
      <c r="C35" s="242"/>
      <c r="D35" s="242"/>
      <c r="E35" s="243"/>
      <c r="F35" s="226"/>
      <c r="G35" s="72"/>
    </row>
    <row r="36">
      <c r="A36" s="221"/>
      <c r="B36" s="327">
        <v>49.0</v>
      </c>
      <c r="C36" s="328" t="s">
        <v>488</v>
      </c>
      <c r="D36" s="330" t="s">
        <v>646</v>
      </c>
      <c r="E36" s="331" t="s">
        <v>647</v>
      </c>
      <c r="F36" s="254" t="s">
        <v>507</v>
      </c>
      <c r="G36" s="72"/>
    </row>
    <row r="37">
      <c r="A37" s="221"/>
      <c r="B37" s="327">
        <v>51.0</v>
      </c>
      <c r="C37" s="328" t="s">
        <v>488</v>
      </c>
      <c r="D37" s="338" t="s">
        <v>652</v>
      </c>
      <c r="E37" s="331" t="s">
        <v>653</v>
      </c>
      <c r="F37" s="254" t="s">
        <v>507</v>
      </c>
      <c r="G37" s="72"/>
    </row>
    <row r="38">
      <c r="A38" s="221"/>
      <c r="B38" s="327">
        <v>52.0</v>
      </c>
      <c r="C38" s="333" t="s">
        <v>488</v>
      </c>
      <c r="D38" s="257" t="s">
        <v>655</v>
      </c>
      <c r="E38" s="258" t="s">
        <v>656</v>
      </c>
      <c r="F38" s="254" t="s">
        <v>490</v>
      </c>
      <c r="G38" s="72"/>
    </row>
    <row r="39">
      <c r="A39" s="221"/>
      <c r="B39" s="327">
        <v>53.0</v>
      </c>
      <c r="C39" s="328" t="s">
        <v>488</v>
      </c>
      <c r="D39" s="338" t="s">
        <v>657</v>
      </c>
      <c r="E39" s="331" t="s">
        <v>658</v>
      </c>
      <c r="F39" s="254" t="s">
        <v>507</v>
      </c>
      <c r="G39" s="335" t="s">
        <v>659</v>
      </c>
    </row>
    <row r="40">
      <c r="A40" s="221"/>
      <c r="B40" s="327">
        <v>54.0</v>
      </c>
      <c r="C40" s="333" t="s">
        <v>488</v>
      </c>
      <c r="D40" s="257" t="s">
        <v>661</v>
      </c>
      <c r="E40" s="258" t="s">
        <v>662</v>
      </c>
      <c r="F40" s="254" t="s">
        <v>526</v>
      </c>
      <c r="G40" s="72"/>
    </row>
    <row r="41">
      <c r="A41" s="221"/>
      <c r="B41" s="345" t="s">
        <v>672</v>
      </c>
      <c r="C41" s="242"/>
      <c r="D41" s="242"/>
      <c r="E41" s="243"/>
      <c r="F41" s="226"/>
      <c r="G41" s="72"/>
    </row>
    <row r="42">
      <c r="A42" s="221"/>
      <c r="B42" s="347">
        <v>59.0</v>
      </c>
      <c r="C42" s="349" t="s">
        <v>568</v>
      </c>
      <c r="D42" s="350" t="s">
        <v>674</v>
      </c>
      <c r="E42" s="351" t="s">
        <v>675</v>
      </c>
      <c r="F42" s="254" t="s">
        <v>507</v>
      </c>
      <c r="G42" s="72"/>
    </row>
    <row r="43">
      <c r="A43" s="221"/>
      <c r="B43" s="347">
        <v>60.0</v>
      </c>
      <c r="C43" s="352" t="s">
        <v>568</v>
      </c>
      <c r="D43" s="353" t="s">
        <v>676</v>
      </c>
      <c r="E43" s="258" t="s">
        <v>677</v>
      </c>
      <c r="F43" s="254" t="s">
        <v>526</v>
      </c>
      <c r="G43" s="72"/>
    </row>
    <row r="44">
      <c r="A44" s="221"/>
      <c r="B44" s="347">
        <v>61.0</v>
      </c>
      <c r="C44" s="349" t="s">
        <v>568</v>
      </c>
      <c r="D44" s="350" t="s">
        <v>678</v>
      </c>
      <c r="E44" s="351" t="s">
        <v>679</v>
      </c>
      <c r="F44" s="254" t="s">
        <v>490</v>
      </c>
      <c r="G44" s="72"/>
    </row>
    <row r="45">
      <c r="A45" s="221"/>
      <c r="B45" s="347">
        <v>62.0</v>
      </c>
      <c r="C45" s="352" t="s">
        <v>568</v>
      </c>
      <c r="D45" s="257" t="s">
        <v>680</v>
      </c>
      <c r="E45" s="258" t="s">
        <v>681</v>
      </c>
      <c r="F45" s="254" t="s">
        <v>507</v>
      </c>
      <c r="G45" s="72"/>
    </row>
    <row r="46">
      <c r="A46" s="221"/>
      <c r="B46" s="355" t="s">
        <v>682</v>
      </c>
      <c r="C46" s="242"/>
      <c r="D46" s="242"/>
      <c r="E46" s="243"/>
      <c r="F46" s="226"/>
      <c r="G46" s="72"/>
    </row>
    <row r="47">
      <c r="A47" s="221"/>
      <c r="B47" s="357">
        <v>63.0</v>
      </c>
      <c r="C47" s="359" t="s">
        <v>545</v>
      </c>
      <c r="D47" s="361" t="s">
        <v>683</v>
      </c>
      <c r="E47" s="364" t="s">
        <v>684</v>
      </c>
      <c r="F47" s="254" t="s">
        <v>507</v>
      </c>
      <c r="G47" s="72"/>
    </row>
    <row r="48">
      <c r="A48" s="221"/>
      <c r="B48" s="357">
        <v>64.0</v>
      </c>
      <c r="C48" s="366" t="s">
        <v>545</v>
      </c>
      <c r="D48" s="257" t="s">
        <v>685</v>
      </c>
      <c r="E48" s="258" t="s">
        <v>686</v>
      </c>
      <c r="F48" s="254" t="s">
        <v>507</v>
      </c>
      <c r="G48" s="72"/>
    </row>
    <row r="49">
      <c r="A49" s="221"/>
      <c r="B49" s="357">
        <v>66.0</v>
      </c>
      <c r="C49" s="366" t="s">
        <v>545</v>
      </c>
      <c r="D49" s="257" t="s">
        <v>689</v>
      </c>
      <c r="E49" s="258" t="s">
        <v>690</v>
      </c>
      <c r="F49" s="254" t="s">
        <v>507</v>
      </c>
      <c r="G49" s="72"/>
    </row>
    <row r="50">
      <c r="A50" s="221"/>
      <c r="B50" s="357">
        <v>67.0</v>
      </c>
      <c r="C50" s="359" t="s">
        <v>545</v>
      </c>
      <c r="D50" s="361" t="s">
        <v>691</v>
      </c>
      <c r="E50" s="364" t="s">
        <v>692</v>
      </c>
      <c r="F50" s="254" t="s">
        <v>507</v>
      </c>
      <c r="G50" s="72"/>
    </row>
    <row r="51">
      <c r="A51" s="221"/>
      <c r="B51" s="357">
        <v>68.0</v>
      </c>
      <c r="C51" s="366" t="s">
        <v>545</v>
      </c>
      <c r="D51" s="257" t="s">
        <v>693</v>
      </c>
      <c r="E51" s="258" t="s">
        <v>694</v>
      </c>
      <c r="F51" s="254" t="s">
        <v>507</v>
      </c>
      <c r="G51" s="72"/>
    </row>
    <row r="52">
      <c r="A52" s="221"/>
      <c r="B52" s="357">
        <v>69.0</v>
      </c>
      <c r="C52" s="359" t="s">
        <v>545</v>
      </c>
      <c r="D52" s="361" t="s">
        <v>695</v>
      </c>
      <c r="E52" s="364" t="s">
        <v>696</v>
      </c>
      <c r="F52" s="254" t="s">
        <v>507</v>
      </c>
      <c r="G52" s="72"/>
    </row>
    <row r="53">
      <c r="A53" s="221"/>
      <c r="B53" s="357">
        <v>70.0</v>
      </c>
      <c r="C53" s="366" t="s">
        <v>545</v>
      </c>
      <c r="D53" s="257" t="s">
        <v>697</v>
      </c>
      <c r="E53" s="258" t="s">
        <v>698</v>
      </c>
      <c r="F53" s="254" t="s">
        <v>507</v>
      </c>
      <c r="G53" s="72"/>
    </row>
    <row r="54">
      <c r="A54" s="221"/>
      <c r="B54" s="367" t="s">
        <v>699</v>
      </c>
      <c r="C54" s="242"/>
      <c r="D54" s="242"/>
      <c r="E54" s="243"/>
      <c r="F54" s="226"/>
      <c r="G54" s="72"/>
    </row>
    <row r="55">
      <c r="A55" s="221"/>
      <c r="B55" s="373" t="s">
        <v>708</v>
      </c>
      <c r="C55" s="242"/>
      <c r="D55" s="242"/>
      <c r="E55" s="243"/>
      <c r="F55" s="226"/>
      <c r="G55" s="72"/>
    </row>
    <row r="56">
      <c r="A56" s="221"/>
      <c r="B56" s="374">
        <v>75.0</v>
      </c>
      <c r="C56" s="375" t="s">
        <v>336</v>
      </c>
      <c r="D56" s="376" t="s">
        <v>709</v>
      </c>
      <c r="E56" s="377" t="s">
        <v>710</v>
      </c>
      <c r="F56" s="254" t="s">
        <v>507</v>
      </c>
      <c r="G56" s="72"/>
    </row>
    <row r="57">
      <c r="A57" s="221"/>
      <c r="B57" s="374">
        <v>76.0</v>
      </c>
      <c r="C57" s="378" t="s">
        <v>336</v>
      </c>
      <c r="D57" s="257" t="s">
        <v>711</v>
      </c>
      <c r="E57" s="258" t="s">
        <v>712</v>
      </c>
      <c r="F57" s="254" t="s">
        <v>490</v>
      </c>
      <c r="G57" s="72"/>
    </row>
    <row r="58">
      <c r="A58" s="221"/>
      <c r="B58" s="374">
        <v>77.0</v>
      </c>
      <c r="C58" s="375" t="s">
        <v>336</v>
      </c>
      <c r="D58" s="376" t="s">
        <v>713</v>
      </c>
      <c r="E58" s="377" t="s">
        <v>714</v>
      </c>
      <c r="F58" s="254" t="s">
        <v>507</v>
      </c>
      <c r="G58" s="72"/>
    </row>
    <row r="59">
      <c r="A59" s="221"/>
      <c r="B59" s="379" t="s">
        <v>715</v>
      </c>
      <c r="C59" s="242"/>
      <c r="D59" s="242"/>
      <c r="E59" s="243"/>
      <c r="F59" s="226"/>
      <c r="G59" s="72"/>
    </row>
    <row r="60">
      <c r="A60" s="221"/>
      <c r="B60" s="380">
        <v>79.0</v>
      </c>
      <c r="C60" s="382" t="s">
        <v>413</v>
      </c>
      <c r="D60" s="383" t="s">
        <v>718</v>
      </c>
      <c r="E60" s="384" t="s">
        <v>719</v>
      </c>
      <c r="F60" s="254" t="s">
        <v>507</v>
      </c>
      <c r="G60" s="72"/>
    </row>
    <row r="61">
      <c r="A61" s="221"/>
      <c r="B61" s="380">
        <v>80.0</v>
      </c>
      <c r="C61" s="381" t="s">
        <v>413</v>
      </c>
      <c r="D61" s="257" t="s">
        <v>720</v>
      </c>
      <c r="E61" s="258" t="s">
        <v>721</v>
      </c>
      <c r="F61" s="254" t="s">
        <v>490</v>
      </c>
      <c r="G61" s="72"/>
    </row>
    <row r="62">
      <c r="A62" s="221"/>
      <c r="B62" s="273" t="s">
        <v>722</v>
      </c>
      <c r="C62" s="242"/>
      <c r="D62" s="242"/>
      <c r="E62" s="243"/>
      <c r="F62" s="226"/>
      <c r="G62" s="72"/>
    </row>
    <row r="63">
      <c r="A63" s="221"/>
      <c r="B63" s="275">
        <v>81.0</v>
      </c>
      <c r="C63" s="280" t="s">
        <v>551</v>
      </c>
      <c r="D63" s="281" t="s">
        <v>723</v>
      </c>
      <c r="E63" s="283" t="s">
        <v>724</v>
      </c>
      <c r="F63" s="254" t="s">
        <v>507</v>
      </c>
      <c r="G63" s="72"/>
    </row>
    <row r="64">
      <c r="A64" s="221"/>
      <c r="B64" s="275">
        <v>82.0</v>
      </c>
      <c r="C64" s="277" t="s">
        <v>551</v>
      </c>
      <c r="D64" s="257" t="s">
        <v>725</v>
      </c>
      <c r="E64" s="258" t="s">
        <v>726</v>
      </c>
      <c r="F64" s="254" t="s">
        <v>507</v>
      </c>
      <c r="G64" s="72"/>
    </row>
    <row r="65">
      <c r="A65" s="221"/>
      <c r="B65" s="275">
        <v>83.0</v>
      </c>
      <c r="C65" s="280" t="s">
        <v>551</v>
      </c>
      <c r="D65" s="281" t="s">
        <v>727</v>
      </c>
      <c r="E65" s="283" t="s">
        <v>728</v>
      </c>
      <c r="F65" s="254" t="s">
        <v>507</v>
      </c>
      <c r="G65" s="72"/>
    </row>
    <row r="66">
      <c r="A66" s="221"/>
      <c r="B66" s="275">
        <v>84.0</v>
      </c>
      <c r="C66" s="277" t="s">
        <v>551</v>
      </c>
      <c r="D66" s="257" t="s">
        <v>729</v>
      </c>
      <c r="E66" s="258" t="s">
        <v>730</v>
      </c>
      <c r="F66" s="254" t="s">
        <v>507</v>
      </c>
      <c r="G66" s="72"/>
    </row>
    <row r="67">
      <c r="A67" s="221"/>
      <c r="B67" s="275">
        <v>85.0</v>
      </c>
      <c r="C67" s="280" t="s">
        <v>551</v>
      </c>
      <c r="D67" s="281" t="s">
        <v>731</v>
      </c>
      <c r="E67" s="283" t="s">
        <v>732</v>
      </c>
      <c r="F67" s="254" t="s">
        <v>507</v>
      </c>
      <c r="G67" s="72"/>
    </row>
    <row r="68">
      <c r="A68" s="221"/>
      <c r="B68" s="275">
        <v>86.0</v>
      </c>
      <c r="C68" s="277" t="s">
        <v>551</v>
      </c>
      <c r="D68" s="257" t="s">
        <v>733</v>
      </c>
      <c r="E68" s="258" t="s">
        <v>734</v>
      </c>
      <c r="F68" s="254" t="s">
        <v>490</v>
      </c>
      <c r="G68" s="72"/>
    </row>
    <row r="69">
      <c r="A69" s="221"/>
      <c r="B69" s="289" t="s">
        <v>735</v>
      </c>
      <c r="C69" s="242"/>
      <c r="D69" s="242"/>
      <c r="E69" s="243"/>
      <c r="F69" s="226"/>
      <c r="G69" s="72"/>
    </row>
    <row r="70">
      <c r="A70" s="221"/>
      <c r="B70" s="291">
        <v>87.0</v>
      </c>
      <c r="C70" s="293" t="s">
        <v>621</v>
      </c>
      <c r="D70" s="295" t="s">
        <v>736</v>
      </c>
      <c r="E70" s="297" t="s">
        <v>737</v>
      </c>
      <c r="F70" s="254" t="s">
        <v>507</v>
      </c>
      <c r="G70" s="72"/>
    </row>
    <row r="71">
      <c r="A71" s="221"/>
      <c r="B71" s="291">
        <v>88.0</v>
      </c>
      <c r="C71" s="299" t="s">
        <v>621</v>
      </c>
      <c r="D71" s="257" t="s">
        <v>738</v>
      </c>
      <c r="E71" s="258" t="s">
        <v>739</v>
      </c>
      <c r="F71" s="254" t="s">
        <v>507</v>
      </c>
      <c r="G71" s="72"/>
    </row>
    <row r="72">
      <c r="A72" s="221"/>
      <c r="B72" s="291">
        <v>89.0</v>
      </c>
      <c r="C72" s="293" t="s">
        <v>621</v>
      </c>
      <c r="D72" s="295" t="s">
        <v>740</v>
      </c>
      <c r="E72" s="297" t="s">
        <v>741</v>
      </c>
      <c r="F72" s="254" t="s">
        <v>507</v>
      </c>
      <c r="G72" s="72"/>
    </row>
    <row r="73">
      <c r="A73" s="221"/>
      <c r="B73" s="241" t="s">
        <v>742</v>
      </c>
      <c r="C73" s="242"/>
      <c r="D73" s="242"/>
      <c r="E73" s="243"/>
      <c r="F73" s="226"/>
      <c r="G73" s="72"/>
    </row>
    <row r="74">
      <c r="A74" s="221"/>
      <c r="B74" s="238">
        <v>90.0</v>
      </c>
      <c r="C74" s="255" t="s">
        <v>562</v>
      </c>
      <c r="D74" s="257" t="s">
        <v>743</v>
      </c>
      <c r="E74" s="258" t="s">
        <v>744</v>
      </c>
      <c r="F74" s="254" t="s">
        <v>507</v>
      </c>
      <c r="G74" s="72"/>
    </row>
    <row r="75">
      <c r="A75" s="221"/>
      <c r="B75" s="238">
        <v>91.0</v>
      </c>
      <c r="C75" s="246" t="s">
        <v>562</v>
      </c>
      <c r="D75" s="248" t="s">
        <v>745</v>
      </c>
      <c r="E75" s="250" t="s">
        <v>746</v>
      </c>
      <c r="F75" s="254" t="s">
        <v>507</v>
      </c>
      <c r="G75" s="72"/>
    </row>
    <row r="76">
      <c r="A76" s="221"/>
      <c r="B76" s="238">
        <v>92.0</v>
      </c>
      <c r="C76" s="255" t="s">
        <v>562</v>
      </c>
      <c r="D76" s="257" t="s">
        <v>747</v>
      </c>
      <c r="E76" s="258" t="s">
        <v>748</v>
      </c>
      <c r="F76" s="254" t="s">
        <v>507</v>
      </c>
      <c r="G76" s="72"/>
    </row>
    <row r="77">
      <c r="A77" s="221"/>
      <c r="B77" s="238">
        <v>93.0</v>
      </c>
      <c r="C77" s="246" t="s">
        <v>562</v>
      </c>
      <c r="D77" s="248" t="s">
        <v>749</v>
      </c>
      <c r="E77" s="250" t="s">
        <v>750</v>
      </c>
      <c r="F77" s="254" t="s">
        <v>507</v>
      </c>
      <c r="G77" s="72"/>
    </row>
    <row r="78">
      <c r="A78" s="221"/>
      <c r="B78" s="238">
        <v>94.0</v>
      </c>
      <c r="C78" s="255" t="s">
        <v>562</v>
      </c>
      <c r="D78" s="257" t="s">
        <v>751</v>
      </c>
      <c r="E78" s="258" t="s">
        <v>752</v>
      </c>
      <c r="F78" s="254" t="s">
        <v>507</v>
      </c>
      <c r="G78" s="72"/>
    </row>
    <row r="79">
      <c r="A79" s="221"/>
      <c r="B79" s="355" t="s">
        <v>753</v>
      </c>
      <c r="C79" s="242"/>
      <c r="D79" s="242"/>
      <c r="E79" s="243"/>
      <c r="F79" s="226"/>
      <c r="G79" s="72"/>
    </row>
    <row r="80">
      <c r="A80" s="221"/>
      <c r="B80" s="357">
        <v>95.0</v>
      </c>
      <c r="C80" s="359" t="s">
        <v>578</v>
      </c>
      <c r="D80" s="361" t="s">
        <v>754</v>
      </c>
      <c r="E80" s="364" t="s">
        <v>755</v>
      </c>
      <c r="F80" s="254" t="s">
        <v>507</v>
      </c>
      <c r="G80" s="72"/>
    </row>
    <row r="81">
      <c r="A81" s="221"/>
      <c r="B81" s="357">
        <v>96.0</v>
      </c>
      <c r="C81" s="366" t="s">
        <v>578</v>
      </c>
      <c r="D81" s="257" t="s">
        <v>756</v>
      </c>
      <c r="E81" s="258" t="s">
        <v>757</v>
      </c>
      <c r="F81" s="254" t="s">
        <v>507</v>
      </c>
      <c r="G81" s="72"/>
    </row>
    <row r="82">
      <c r="A82" s="221"/>
      <c r="B82" s="357">
        <v>97.0</v>
      </c>
      <c r="C82" s="359" t="s">
        <v>578</v>
      </c>
      <c r="D82" s="361" t="s">
        <v>758</v>
      </c>
      <c r="E82" s="364" t="s">
        <v>759</v>
      </c>
      <c r="F82" s="254" t="s">
        <v>507</v>
      </c>
      <c r="G82" s="72"/>
    </row>
    <row r="83">
      <c r="A83" s="221"/>
      <c r="B83" s="357">
        <v>98.0</v>
      </c>
      <c r="C83" s="366" t="s">
        <v>578</v>
      </c>
      <c r="D83" s="257" t="s">
        <v>760</v>
      </c>
      <c r="E83" s="258" t="s">
        <v>761</v>
      </c>
      <c r="F83" s="254" t="s">
        <v>507</v>
      </c>
      <c r="G83" s="72"/>
    </row>
    <row r="84">
      <c r="A84" s="221"/>
      <c r="B84" s="326" t="s">
        <v>762</v>
      </c>
      <c r="C84" s="242"/>
      <c r="D84" s="242"/>
      <c r="E84" s="243"/>
      <c r="F84" s="226"/>
      <c r="G84" s="72"/>
    </row>
    <row r="85">
      <c r="A85" s="221"/>
      <c r="B85" s="379" t="s">
        <v>771</v>
      </c>
      <c r="C85" s="242"/>
      <c r="D85" s="242"/>
      <c r="E85" s="243"/>
      <c r="F85" s="254"/>
      <c r="G85" s="72"/>
    </row>
    <row r="86">
      <c r="A86" s="221"/>
      <c r="B86" s="380">
        <v>103.0</v>
      </c>
      <c r="C86" s="382" t="s">
        <v>594</v>
      </c>
      <c r="D86" s="383" t="s">
        <v>772</v>
      </c>
      <c r="E86" s="384" t="s">
        <v>773</v>
      </c>
      <c r="F86" s="254" t="s">
        <v>507</v>
      </c>
      <c r="G86" s="72"/>
    </row>
    <row r="87">
      <c r="A87" s="221"/>
      <c r="B87" s="380">
        <v>104.0</v>
      </c>
      <c r="C87" s="381" t="s">
        <v>594</v>
      </c>
      <c r="D87" s="257" t="s">
        <v>774</v>
      </c>
      <c r="E87" s="258" t="s">
        <v>775</v>
      </c>
      <c r="F87" s="254" t="s">
        <v>490</v>
      </c>
      <c r="G87" s="72"/>
    </row>
    <row r="88">
      <c r="A88" s="221"/>
      <c r="B88" s="380">
        <v>105.0</v>
      </c>
      <c r="C88" s="382" t="s">
        <v>594</v>
      </c>
      <c r="D88" s="383" t="s">
        <v>776</v>
      </c>
      <c r="E88" s="384" t="s">
        <v>777</v>
      </c>
      <c r="F88" s="254" t="s">
        <v>490</v>
      </c>
      <c r="G88" s="72"/>
    </row>
    <row r="89">
      <c r="A89" s="221"/>
      <c r="B89" s="380">
        <v>106.0</v>
      </c>
      <c r="C89" s="381" t="s">
        <v>594</v>
      </c>
      <c r="D89" s="257" t="s">
        <v>778</v>
      </c>
      <c r="E89" s="258" t="s">
        <v>779</v>
      </c>
      <c r="F89" s="254" t="s">
        <v>507</v>
      </c>
      <c r="G89" s="72"/>
    </row>
    <row r="90">
      <c r="A90" s="221"/>
      <c r="B90" s="306" t="s">
        <v>793</v>
      </c>
      <c r="C90" s="242"/>
      <c r="D90" s="242"/>
      <c r="E90" s="243"/>
      <c r="F90" s="254"/>
      <c r="G90" s="72"/>
    </row>
    <row r="91">
      <c r="A91" s="221"/>
      <c r="B91" s="309">
        <v>113.0</v>
      </c>
      <c r="C91" s="311" t="s">
        <v>598</v>
      </c>
      <c r="D91" s="248" t="s">
        <v>794</v>
      </c>
      <c r="E91" s="250" t="s">
        <v>795</v>
      </c>
      <c r="F91" s="254" t="s">
        <v>526</v>
      </c>
      <c r="G91" s="72"/>
    </row>
    <row r="92">
      <c r="A92" s="221"/>
      <c r="B92" s="309">
        <v>114.0</v>
      </c>
      <c r="C92" s="312" t="s">
        <v>598</v>
      </c>
      <c r="D92" s="257" t="s">
        <v>796</v>
      </c>
      <c r="E92" s="258" t="s">
        <v>797</v>
      </c>
      <c r="F92" s="254" t="s">
        <v>526</v>
      </c>
      <c r="G92" s="72"/>
    </row>
    <row r="93">
      <c r="A93" s="221"/>
      <c r="B93" s="309">
        <v>115.0</v>
      </c>
      <c r="C93" s="311" t="s">
        <v>598</v>
      </c>
      <c r="D93" s="248" t="s">
        <v>798</v>
      </c>
      <c r="E93" s="250" t="s">
        <v>799</v>
      </c>
      <c r="F93" s="254" t="s">
        <v>526</v>
      </c>
      <c r="G93" s="72"/>
    </row>
    <row r="94">
      <c r="A94" s="221"/>
      <c r="B94" s="309">
        <v>116.0</v>
      </c>
      <c r="C94" s="312" t="s">
        <v>598</v>
      </c>
      <c r="D94" s="257" t="s">
        <v>800</v>
      </c>
      <c r="E94" s="258" t="s">
        <v>801</v>
      </c>
      <c r="F94" s="254" t="s">
        <v>526</v>
      </c>
      <c r="G94" s="72"/>
    </row>
    <row r="95">
      <c r="A95" s="221"/>
      <c r="B95" s="317" t="s">
        <v>810</v>
      </c>
      <c r="C95" s="242"/>
      <c r="D95" s="242"/>
      <c r="E95" s="243"/>
      <c r="F95" s="254"/>
      <c r="G95" s="72"/>
    </row>
    <row r="96">
      <c r="A96" s="221"/>
      <c r="B96" s="319">
        <v>120.0</v>
      </c>
      <c r="C96" s="325" t="s">
        <v>660</v>
      </c>
      <c r="D96" s="257" t="s">
        <v>811</v>
      </c>
      <c r="E96" s="258" t="s">
        <v>812</v>
      </c>
      <c r="F96" s="254" t="s">
        <v>507</v>
      </c>
      <c r="G96" s="72"/>
    </row>
    <row r="97">
      <c r="A97" s="221"/>
      <c r="B97" s="391" t="s">
        <v>813</v>
      </c>
      <c r="C97" s="242"/>
      <c r="D97" s="242"/>
      <c r="E97" s="243"/>
      <c r="F97" s="254"/>
      <c r="G97" s="72"/>
    </row>
    <row r="98">
      <c r="A98" s="221"/>
      <c r="B98" s="392">
        <v>121.0</v>
      </c>
      <c r="C98" s="393" t="s">
        <v>512</v>
      </c>
      <c r="D98" s="394" t="s">
        <v>814</v>
      </c>
      <c r="E98" s="395" t="s">
        <v>815</v>
      </c>
      <c r="F98" s="254" t="s">
        <v>490</v>
      </c>
      <c r="G98" s="72"/>
    </row>
    <row r="99">
      <c r="A99" s="221"/>
      <c r="B99" s="392">
        <v>122.0</v>
      </c>
      <c r="C99" s="396" t="s">
        <v>512</v>
      </c>
      <c r="D99" s="257" t="s">
        <v>816</v>
      </c>
      <c r="E99" s="258" t="s">
        <v>817</v>
      </c>
      <c r="F99" s="254" t="s">
        <v>490</v>
      </c>
      <c r="G99" s="72"/>
    </row>
    <row r="100">
      <c r="A100" s="221"/>
      <c r="B100" s="392">
        <v>123.0</v>
      </c>
      <c r="C100" s="393" t="s">
        <v>512</v>
      </c>
      <c r="D100" s="394" t="s">
        <v>818</v>
      </c>
      <c r="E100" s="395" t="s">
        <v>819</v>
      </c>
      <c r="F100" s="254" t="s">
        <v>490</v>
      </c>
      <c r="G100" s="72"/>
    </row>
    <row r="101">
      <c r="A101" s="221"/>
      <c r="B101" s="392">
        <v>124.0</v>
      </c>
      <c r="C101" s="396" t="s">
        <v>512</v>
      </c>
      <c r="D101" s="257" t="s">
        <v>820</v>
      </c>
      <c r="E101" s="258" t="s">
        <v>821</v>
      </c>
      <c r="F101" s="254" t="s">
        <v>490</v>
      </c>
      <c r="G101" s="72"/>
    </row>
    <row r="102">
      <c r="A102" s="221"/>
      <c r="B102" s="392">
        <v>125.0</v>
      </c>
      <c r="C102" s="393" t="s">
        <v>512</v>
      </c>
      <c r="D102" s="394" t="s">
        <v>822</v>
      </c>
      <c r="E102" s="395" t="s">
        <v>823</v>
      </c>
      <c r="F102" s="254" t="s">
        <v>490</v>
      </c>
      <c r="G102" s="72"/>
    </row>
    <row r="103">
      <c r="A103" s="221"/>
      <c r="B103" s="392">
        <v>126.0</v>
      </c>
      <c r="C103" s="396" t="s">
        <v>512</v>
      </c>
      <c r="D103" s="257" t="s">
        <v>824</v>
      </c>
      <c r="E103" s="258" t="s">
        <v>825</v>
      </c>
      <c r="F103" s="254" t="s">
        <v>490</v>
      </c>
      <c r="G103" s="72"/>
    </row>
    <row r="104">
      <c r="A104" s="221"/>
      <c r="B104" s="392">
        <v>127.0</v>
      </c>
      <c r="C104" s="393" t="s">
        <v>512</v>
      </c>
      <c r="D104" s="394" t="s">
        <v>826</v>
      </c>
      <c r="E104" s="395" t="s">
        <v>827</v>
      </c>
      <c r="F104" s="254" t="s">
        <v>490</v>
      </c>
      <c r="G104" s="72"/>
    </row>
    <row r="105">
      <c r="A105" s="221"/>
      <c r="B105" s="392">
        <v>128.0</v>
      </c>
      <c r="C105" s="396" t="s">
        <v>512</v>
      </c>
      <c r="D105" s="257" t="s">
        <v>828</v>
      </c>
      <c r="E105" s="258" t="s">
        <v>829</v>
      </c>
      <c r="F105" s="254" t="s">
        <v>490</v>
      </c>
      <c r="G105" s="72"/>
    </row>
    <row r="106">
      <c r="A106" s="221"/>
      <c r="B106" s="392">
        <v>129.0</v>
      </c>
      <c r="C106" s="393" t="s">
        <v>512</v>
      </c>
      <c r="D106" s="394" t="s">
        <v>830</v>
      </c>
      <c r="E106" s="395" t="s">
        <v>831</v>
      </c>
      <c r="F106" s="254" t="s">
        <v>490</v>
      </c>
      <c r="G106" s="72"/>
    </row>
    <row r="107">
      <c r="A107" s="221"/>
      <c r="B107" s="392">
        <v>130.0</v>
      </c>
      <c r="C107" s="396" t="s">
        <v>512</v>
      </c>
      <c r="D107" s="257" t="s">
        <v>832</v>
      </c>
      <c r="E107" s="258" t="s">
        <v>833</v>
      </c>
      <c r="F107" s="254" t="s">
        <v>490</v>
      </c>
      <c r="G107" s="72"/>
    </row>
    <row r="108">
      <c r="A108" s="221"/>
      <c r="B108" s="241" t="s">
        <v>834</v>
      </c>
      <c r="C108" s="242"/>
      <c r="D108" s="242"/>
      <c r="E108" s="243"/>
      <c r="F108" s="254"/>
      <c r="G108" s="72"/>
    </row>
    <row r="109">
      <c r="A109" s="221"/>
      <c r="B109" s="238">
        <v>131.0</v>
      </c>
      <c r="C109" s="246" t="s">
        <v>558</v>
      </c>
      <c r="D109" s="248" t="s">
        <v>836</v>
      </c>
      <c r="E109" s="250" t="s">
        <v>837</v>
      </c>
      <c r="F109" s="254" t="s">
        <v>507</v>
      </c>
      <c r="G109" s="72"/>
    </row>
    <row r="110">
      <c r="A110" s="221"/>
      <c r="B110" s="238">
        <v>132.0</v>
      </c>
      <c r="C110" s="255" t="s">
        <v>558</v>
      </c>
      <c r="D110" s="257" t="s">
        <v>838</v>
      </c>
      <c r="E110" s="258" t="s">
        <v>839</v>
      </c>
      <c r="F110" s="254" t="s">
        <v>507</v>
      </c>
      <c r="G110" s="72"/>
    </row>
    <row r="111">
      <c r="A111" s="221"/>
      <c r="B111" s="238">
        <v>133.0</v>
      </c>
      <c r="C111" s="246" t="s">
        <v>558</v>
      </c>
      <c r="D111" s="248" t="s">
        <v>840</v>
      </c>
      <c r="E111" s="250" t="s">
        <v>841</v>
      </c>
      <c r="F111" s="254" t="s">
        <v>490</v>
      </c>
      <c r="G111" s="72"/>
    </row>
    <row r="112">
      <c r="A112" s="221"/>
      <c r="B112" s="238">
        <v>134.0</v>
      </c>
      <c r="C112" s="255" t="s">
        <v>558</v>
      </c>
      <c r="D112" s="257" t="s">
        <v>842</v>
      </c>
      <c r="E112" s="258" t="s">
        <v>844</v>
      </c>
      <c r="F112" s="254" t="s">
        <v>490</v>
      </c>
      <c r="G112" s="72"/>
    </row>
    <row r="113">
      <c r="A113" s="221"/>
      <c r="B113" s="238">
        <v>135.0</v>
      </c>
      <c r="C113" s="246" t="s">
        <v>558</v>
      </c>
      <c r="D113" s="248" t="s">
        <v>845</v>
      </c>
      <c r="E113" s="250" t="s">
        <v>846</v>
      </c>
      <c r="F113" s="254" t="s">
        <v>490</v>
      </c>
      <c r="G113" s="72"/>
    </row>
    <row r="114">
      <c r="A114" s="221"/>
      <c r="B114" s="238">
        <v>136.0</v>
      </c>
      <c r="C114" s="255" t="s">
        <v>558</v>
      </c>
      <c r="D114" s="257" t="s">
        <v>847</v>
      </c>
      <c r="E114" s="258" t="s">
        <v>848</v>
      </c>
      <c r="F114" s="254" t="s">
        <v>507</v>
      </c>
      <c r="G114" s="72"/>
    </row>
    <row r="115">
      <c r="A115" s="221"/>
      <c r="B115" s="367" t="s">
        <v>849</v>
      </c>
      <c r="C115" s="242"/>
      <c r="D115" s="242"/>
      <c r="E115" s="243"/>
      <c r="F115" s="254"/>
      <c r="G115" s="72"/>
    </row>
    <row r="116">
      <c r="A116" s="221"/>
      <c r="B116" s="368">
        <v>137.0</v>
      </c>
      <c r="C116" s="369" t="s">
        <v>634</v>
      </c>
      <c r="D116" s="370" t="s">
        <v>851</v>
      </c>
      <c r="E116" s="371" t="s">
        <v>852</v>
      </c>
      <c r="F116" s="254" t="s">
        <v>507</v>
      </c>
      <c r="G116" s="72"/>
    </row>
    <row r="117">
      <c r="A117" s="221"/>
      <c r="B117" s="368">
        <v>138.0</v>
      </c>
      <c r="C117" s="372" t="s">
        <v>634</v>
      </c>
      <c r="D117" s="257" t="s">
        <v>853</v>
      </c>
      <c r="E117" s="258" t="s">
        <v>854</v>
      </c>
      <c r="F117" s="254" t="s">
        <v>490</v>
      </c>
      <c r="G117" s="72"/>
    </row>
    <row r="118">
      <c r="A118" s="221"/>
      <c r="B118" s="368">
        <v>139.0</v>
      </c>
      <c r="C118" s="369" t="s">
        <v>634</v>
      </c>
      <c r="D118" s="370" t="s">
        <v>855</v>
      </c>
      <c r="E118" s="371" t="s">
        <v>856</v>
      </c>
      <c r="F118" s="254" t="s">
        <v>490</v>
      </c>
      <c r="G118" s="72"/>
    </row>
    <row r="119">
      <c r="A119" s="221"/>
      <c r="B119" s="289" t="s">
        <v>857</v>
      </c>
      <c r="C119" s="242"/>
      <c r="D119" s="242"/>
      <c r="E119" s="243"/>
      <c r="F119" s="254"/>
      <c r="G119" s="72"/>
    </row>
    <row r="120">
      <c r="A120" s="221"/>
      <c r="B120" s="291">
        <v>140.0</v>
      </c>
      <c r="C120" s="299" t="s">
        <v>642</v>
      </c>
      <c r="D120" s="257" t="s">
        <v>858</v>
      </c>
      <c r="E120" s="258" t="s">
        <v>859</v>
      </c>
      <c r="F120" s="254" t="s">
        <v>482</v>
      </c>
      <c r="G120" s="72"/>
    </row>
    <row r="121">
      <c r="A121" s="221"/>
      <c r="B121" s="291">
        <v>141.0</v>
      </c>
      <c r="C121" s="293" t="s">
        <v>642</v>
      </c>
      <c r="D121" s="295" t="s">
        <v>860</v>
      </c>
      <c r="E121" s="297" t="s">
        <v>861</v>
      </c>
      <c r="F121" s="254" t="s">
        <v>482</v>
      </c>
      <c r="G121" s="72"/>
    </row>
    <row r="122">
      <c r="A122" s="221"/>
      <c r="B122" s="413" t="s">
        <v>890</v>
      </c>
      <c r="F122" s="226"/>
      <c r="G122" s="72"/>
    </row>
    <row r="123">
      <c r="A123" s="221"/>
      <c r="B123" s="221"/>
      <c r="C123" s="221"/>
      <c r="D123" s="221"/>
      <c r="E123" s="221"/>
      <c r="F123" s="226"/>
      <c r="G123" s="72"/>
    </row>
    <row r="124">
      <c r="A124" s="221"/>
      <c r="B124" s="221"/>
      <c r="C124" s="221"/>
      <c r="D124" s="221"/>
      <c r="E124" s="221"/>
      <c r="F124" s="226"/>
      <c r="G124" s="72"/>
    </row>
    <row r="125">
      <c r="A125" s="221"/>
      <c r="B125" s="221"/>
      <c r="C125" s="221"/>
      <c r="D125" s="221"/>
      <c r="E125" s="221"/>
      <c r="F125" s="226"/>
      <c r="G125" s="72"/>
    </row>
    <row r="126">
      <c r="A126" s="221"/>
      <c r="B126" s="221"/>
      <c r="C126" s="221"/>
      <c r="D126" s="221"/>
      <c r="E126" s="221"/>
      <c r="F126" s="226"/>
      <c r="G126" s="72"/>
    </row>
    <row r="127">
      <c r="A127" s="221"/>
      <c r="B127" s="221"/>
      <c r="C127" s="221"/>
      <c r="D127" s="221"/>
      <c r="E127" s="221"/>
      <c r="F127" s="226"/>
      <c r="G127" s="72"/>
    </row>
    <row r="128">
      <c r="A128" s="221"/>
      <c r="B128" s="221"/>
      <c r="C128" s="221"/>
      <c r="D128" s="221"/>
      <c r="E128" s="221"/>
      <c r="F128" s="226"/>
      <c r="G128" s="72"/>
    </row>
  </sheetData>
  <mergeCells count="25">
    <mergeCell ref="B1:E4"/>
    <mergeCell ref="B5:E5"/>
    <mergeCell ref="B8:E8"/>
    <mergeCell ref="F8:G8"/>
    <mergeCell ref="B27:E27"/>
    <mergeCell ref="B32:E32"/>
    <mergeCell ref="B35:E35"/>
    <mergeCell ref="B41:E41"/>
    <mergeCell ref="B46:E46"/>
    <mergeCell ref="B54:E54"/>
    <mergeCell ref="B55:E55"/>
    <mergeCell ref="B59:E59"/>
    <mergeCell ref="B62:E62"/>
    <mergeCell ref="B69:E69"/>
    <mergeCell ref="B108:E108"/>
    <mergeCell ref="B115:E115"/>
    <mergeCell ref="B119:E119"/>
    <mergeCell ref="B122:E122"/>
    <mergeCell ref="B73:E73"/>
    <mergeCell ref="B79:E79"/>
    <mergeCell ref="B84:E84"/>
    <mergeCell ref="B85:E85"/>
    <mergeCell ref="B90:E90"/>
    <mergeCell ref="B95:E95"/>
    <mergeCell ref="B97:E97"/>
  </mergeCells>
  <conditionalFormatting sqref="F9:F26 F28:F31 F33:F34 F36:F40 F42:F45 F47:F53 F56:F58 F60:F61 F63:F68 F70:F72 F74:F78 F80:F83 F85:F121">
    <cfRule type="notContainsBlanks" dxfId="0" priority="1">
      <formula>LEN(TRIM(F9))&gt;0</formula>
    </cfRule>
  </conditionalFormatting>
  <dataValidations>
    <dataValidation type="list" allowBlank="1" showErrorMessage="1" sqref="F9:F26 F28:F31 F33:F34 F36:F40 F42:F45 F47:F53 F56:F58 F60:F61 F63:F68 F70:F72 F74:F78 F80:F83 F86:F89 F91:F94 F96 F98:F107 F109:F114 F116:F118 F120:F121">
      <formula1>"Completed,In Progress,Not Started,Completed &amp; Used,Requires API,Additional Costs Apply,Will not be Used"</formula1>
    </dataValidation>
  </dataValidations>
  <printOptions/>
  <pageMargins bottom="1.0" footer="0.0" header="0.0" left="0.75" right="0.75" top="1.0"/>
  <pageSetup paperSize="9"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63"/>
    <col customWidth="1" min="9" max="9" width="21.0"/>
  </cols>
  <sheetData>
    <row r="1">
      <c r="A1" s="397" t="s">
        <v>835</v>
      </c>
      <c r="B1" s="398"/>
      <c r="C1" s="398"/>
      <c r="D1" s="398"/>
      <c r="E1" s="398"/>
      <c r="F1" s="398"/>
      <c r="G1" s="362"/>
      <c r="H1" s="362"/>
      <c r="I1" s="362"/>
    </row>
    <row r="2">
      <c r="A2" s="399" t="s">
        <v>843</v>
      </c>
      <c r="B2" s="400"/>
      <c r="C2" s="400"/>
      <c r="D2" s="400"/>
      <c r="E2" s="400"/>
      <c r="F2" s="400"/>
      <c r="G2" s="362"/>
      <c r="H2" s="362"/>
      <c r="I2" s="362"/>
    </row>
    <row r="3">
      <c r="A3" s="362"/>
      <c r="B3" s="362"/>
      <c r="C3" s="362"/>
      <c r="D3" s="362"/>
      <c r="E3" s="362"/>
      <c r="F3" s="362"/>
      <c r="G3" s="362"/>
      <c r="H3" s="362"/>
      <c r="I3" s="362"/>
    </row>
    <row r="4">
      <c r="A4" s="401" t="s">
        <v>850</v>
      </c>
      <c r="B4" s="401" t="s">
        <v>507</v>
      </c>
      <c r="C4" s="401" t="s">
        <v>482</v>
      </c>
      <c r="D4" s="401" t="s">
        <v>490</v>
      </c>
      <c r="E4" s="401" t="s">
        <v>526</v>
      </c>
      <c r="F4" s="401" t="s">
        <v>511</v>
      </c>
      <c r="G4" s="362"/>
      <c r="H4" s="362"/>
      <c r="I4" s="362"/>
    </row>
    <row r="5">
      <c r="A5" s="402">
        <v>151.0</v>
      </c>
      <c r="B5" s="402">
        <v>41.0</v>
      </c>
      <c r="C5" s="402">
        <v>22.0</v>
      </c>
      <c r="D5" s="402">
        <v>24.0</v>
      </c>
      <c r="E5" s="402">
        <v>47.0</v>
      </c>
      <c r="F5" s="402">
        <v>10.0</v>
      </c>
      <c r="G5" s="362"/>
      <c r="H5" s="362"/>
      <c r="I5" s="362"/>
    </row>
    <row r="6">
      <c r="A6" s="362"/>
      <c r="B6" s="362"/>
      <c r="C6" s="362"/>
      <c r="D6" s="362"/>
      <c r="E6" s="362"/>
      <c r="F6" s="362"/>
      <c r="G6" s="362"/>
      <c r="H6" s="362"/>
      <c r="I6" s="362"/>
    </row>
    <row r="7">
      <c r="A7" s="362"/>
      <c r="B7" s="362"/>
      <c r="C7" s="362"/>
      <c r="D7" s="362"/>
      <c r="E7" s="362"/>
      <c r="F7" s="362"/>
      <c r="G7" s="362"/>
      <c r="H7" s="362"/>
      <c r="I7" s="362"/>
    </row>
    <row r="8">
      <c r="A8" s="403" t="s">
        <v>863</v>
      </c>
      <c r="B8" s="403" t="s">
        <v>850</v>
      </c>
      <c r="C8" s="403" t="s">
        <v>864</v>
      </c>
      <c r="D8" s="403" t="s">
        <v>507</v>
      </c>
      <c r="E8" s="403" t="s">
        <v>490</v>
      </c>
      <c r="F8" s="403" t="s">
        <v>526</v>
      </c>
      <c r="G8" s="403" t="s">
        <v>867</v>
      </c>
      <c r="H8" s="404"/>
      <c r="I8" s="404"/>
    </row>
    <row r="9">
      <c r="A9" s="405" t="s">
        <v>474</v>
      </c>
      <c r="B9" s="406">
        <f>COUNTIF('Ed admin Full Feature List'!$C$9:$C$190,$A9)</f>
        <v>23</v>
      </c>
      <c r="C9" s="408">
        <f>COUNTIF('SLA Ed admin Feature List'!$C$9:$C$160,$A9)</f>
        <v>18</v>
      </c>
      <c r="D9" s="412">
        <f>COUNTIFS('SLA Ed admin Feature List'!$C$9:$C$160,$A9,'SLA Ed admin Feature List'!$F$9:$F$160,"Completed")</f>
        <v>7</v>
      </c>
      <c r="E9" s="412">
        <f>COUNTIFS('SLA Ed admin Feature List'!$C$9:$C$160,$A9,'SLA Ed admin Feature List'!$F$9:$F$160,"In progress")</f>
        <v>4</v>
      </c>
      <c r="F9" s="412">
        <f>COUNTIFS('SLA Ed admin Feature List'!$C$9:$C$160,$A9,'SLA Ed admin Feature List'!$F$9:$F$160,"Not started")</f>
        <v>7</v>
      </c>
      <c r="G9" s="414">
        <f t="shared" ref="G9:G28" si="1">D9/C9</f>
        <v>0.3888888889</v>
      </c>
      <c r="H9" s="362"/>
      <c r="I9" s="362"/>
    </row>
    <row r="10">
      <c r="A10" s="405" t="s">
        <v>567</v>
      </c>
      <c r="B10" s="406">
        <f>COUNTIF('Ed admin Full Feature List'!$C$9:$C$190,$A10)</f>
        <v>4</v>
      </c>
      <c r="C10" s="408">
        <f>COUNTIF('SLA Ed admin Feature List'!$C$9:$C$160,$A10)</f>
        <v>4</v>
      </c>
      <c r="D10" s="412">
        <f>COUNTIFS('SLA Ed admin Feature List'!$C$9:$C$160,$A10,'SLA Ed admin Feature List'!$F$9:$F$160,"Completed")</f>
        <v>3</v>
      </c>
      <c r="E10" s="412">
        <f>COUNTIFS('SLA Ed admin Feature List'!$C$9:$C$160,$A10,'SLA Ed admin Feature List'!$F$9:$F$160,"In progress")</f>
        <v>1</v>
      </c>
      <c r="F10" s="412">
        <f>COUNTIFS('SLA Ed admin Feature List'!$C$9:$C$160,$A10,'SLA Ed admin Feature List'!$F$9:$F$160,"Not started")</f>
        <v>0</v>
      </c>
      <c r="G10" s="414">
        <f t="shared" si="1"/>
        <v>0.75</v>
      </c>
      <c r="H10" s="362"/>
      <c r="I10" s="362"/>
    </row>
    <row r="11">
      <c r="A11" s="405" t="s">
        <v>636</v>
      </c>
      <c r="B11" s="406">
        <f>COUNTIF('Ed admin Full Feature List'!$C$9:$C$190,$A11)</f>
        <v>2</v>
      </c>
      <c r="C11" s="408">
        <f>COUNTIF('SLA Ed admin Feature List'!$C$9:$C$160,$A11)</f>
        <v>2</v>
      </c>
      <c r="D11" s="412">
        <f>COUNTIFS('SLA Ed admin Feature List'!$C$9:$C$160,$A11,'SLA Ed admin Feature List'!$F$9:$F$160,"Completed")</f>
        <v>0</v>
      </c>
      <c r="E11" s="412">
        <f>COUNTIFS('SLA Ed admin Feature List'!$C$9:$C$160,$A11,'SLA Ed admin Feature List'!$F$9:$F$160,"In progress")</f>
        <v>2</v>
      </c>
      <c r="F11" s="412">
        <f>COUNTIFS('SLA Ed admin Feature List'!$C$9:$C$160,$A11,'SLA Ed admin Feature List'!$F$9:$F$160,"Not started")</f>
        <v>0</v>
      </c>
      <c r="G11" s="414">
        <f t="shared" si="1"/>
        <v>0</v>
      </c>
      <c r="H11" s="362"/>
      <c r="I11" s="362"/>
    </row>
    <row r="12">
      <c r="A12" s="405" t="s">
        <v>488</v>
      </c>
      <c r="B12" s="406">
        <f>COUNTIF('Ed admin Full Feature List'!$C$9:$C$190,$A12)</f>
        <v>10</v>
      </c>
      <c r="C12" s="408">
        <f>COUNTIF('SLA Ed admin Feature List'!$C$9:$C$160,$A12)</f>
        <v>5</v>
      </c>
      <c r="D12" s="412">
        <f>COUNTIFS('SLA Ed admin Feature List'!$C$9:$C$160,$A12,'SLA Ed admin Feature List'!$F$9:$F$160,"Completed")</f>
        <v>3</v>
      </c>
      <c r="E12" s="412">
        <f>COUNTIFS('SLA Ed admin Feature List'!$C$9:$C$160,$A12,'SLA Ed admin Feature List'!$F$9:$F$160,"In progress")</f>
        <v>1</v>
      </c>
      <c r="F12" s="412">
        <f>COUNTIFS('SLA Ed admin Feature List'!$C$9:$C$160,$A12,'SLA Ed admin Feature List'!$F$9:$F$160,"Not started")</f>
        <v>1</v>
      </c>
      <c r="G12" s="414">
        <f t="shared" si="1"/>
        <v>0.6</v>
      </c>
      <c r="H12" s="362"/>
      <c r="I12" s="362"/>
    </row>
    <row r="13">
      <c r="A13" s="405" t="s">
        <v>568</v>
      </c>
      <c r="B13" s="406">
        <f>COUNTIF('Ed admin Full Feature List'!$C$9:$C$190,$A13)</f>
        <v>4</v>
      </c>
      <c r="C13" s="408">
        <f>COUNTIF('SLA Ed admin Feature List'!$C$9:$C$160,$A13)</f>
        <v>4</v>
      </c>
      <c r="D13" s="412">
        <f>COUNTIFS('SLA Ed admin Feature List'!$C$9:$C$160,$A13,'SLA Ed admin Feature List'!$F$9:$F$160,"Completed")</f>
        <v>2</v>
      </c>
      <c r="E13" s="412">
        <f>COUNTIFS('SLA Ed admin Feature List'!$C$9:$C$160,$A13,'SLA Ed admin Feature List'!$F$9:$F$160,"In progress")</f>
        <v>1</v>
      </c>
      <c r="F13" s="412">
        <f>COUNTIFS('SLA Ed admin Feature List'!$C$9:$C$160,$A13,'SLA Ed admin Feature List'!$F$9:$F$160,"Not started")</f>
        <v>1</v>
      </c>
      <c r="G13" s="414">
        <f t="shared" si="1"/>
        <v>0.5</v>
      </c>
      <c r="H13" s="362"/>
      <c r="I13" s="362"/>
    </row>
    <row r="14">
      <c r="A14" s="405" t="s">
        <v>545</v>
      </c>
      <c r="B14" s="406">
        <f>COUNTIF('Ed admin Full Feature List'!$C$9:$C$190,$A14)</f>
        <v>8</v>
      </c>
      <c r="C14" s="408">
        <f>COUNTIF('SLA Ed admin Feature List'!$C$9:$C$160,$A14)</f>
        <v>7</v>
      </c>
      <c r="D14" s="412">
        <f>COUNTIFS('SLA Ed admin Feature List'!$C$9:$C$160,$A14,'SLA Ed admin Feature List'!$F$9:$F$160,"Completed")</f>
        <v>7</v>
      </c>
      <c r="E14" s="412">
        <f>COUNTIFS('SLA Ed admin Feature List'!$C$9:$C$160,$A14,'SLA Ed admin Feature List'!$F$9:$F$160,"In progress")</f>
        <v>0</v>
      </c>
      <c r="F14" s="412">
        <f>COUNTIFS('SLA Ed admin Feature List'!$C$9:$C$160,$A14,'SLA Ed admin Feature List'!$F$9:$F$160,"Not started")</f>
        <v>0</v>
      </c>
      <c r="G14" s="414">
        <f t="shared" si="1"/>
        <v>1</v>
      </c>
      <c r="H14" s="362"/>
      <c r="I14" s="362"/>
    </row>
    <row r="15">
      <c r="A15" s="405" t="s">
        <v>336</v>
      </c>
      <c r="B15" s="406">
        <f>COUNTIF('Ed admin Full Feature List'!$C$9:$C$190,$A15)</f>
        <v>3</v>
      </c>
      <c r="C15" s="408">
        <f>COUNTIF('SLA Ed admin Feature List'!$C$9:$C$160,$A15)</f>
        <v>3</v>
      </c>
      <c r="D15" s="412">
        <f>COUNTIFS('SLA Ed admin Feature List'!$C$9:$C$160,$A15,'SLA Ed admin Feature List'!$F$9:$F$160,"Completed")</f>
        <v>2</v>
      </c>
      <c r="E15" s="412">
        <f>COUNTIFS('SLA Ed admin Feature List'!$C$9:$C$160,$A15,'SLA Ed admin Feature List'!$F$9:$F$160,"In progress")</f>
        <v>1</v>
      </c>
      <c r="F15" s="412">
        <f>COUNTIFS('SLA Ed admin Feature List'!$C$9:$C$160,$A15,'SLA Ed admin Feature List'!$F$9:$F$160,"Not started")</f>
        <v>0</v>
      </c>
      <c r="G15" s="414">
        <f t="shared" si="1"/>
        <v>0.6666666667</v>
      </c>
      <c r="H15" s="362"/>
      <c r="I15" s="362"/>
    </row>
    <row r="16">
      <c r="A16" s="405" t="s">
        <v>413</v>
      </c>
      <c r="B16" s="406">
        <f>COUNTIF('Ed admin Full Feature List'!$C$9:$C$190,$A16)</f>
        <v>3</v>
      </c>
      <c r="C16" s="408">
        <f>COUNTIF('SLA Ed admin Feature List'!$C$9:$C$160,$A16)</f>
        <v>2</v>
      </c>
      <c r="D16" s="412">
        <f>COUNTIFS('SLA Ed admin Feature List'!$C$9:$C$160,$A16,'SLA Ed admin Feature List'!$F$9:$F$160,"Completed")</f>
        <v>1</v>
      </c>
      <c r="E16" s="412">
        <f>COUNTIFS('SLA Ed admin Feature List'!$C$9:$C$160,$A16,'SLA Ed admin Feature List'!$F$9:$F$160,"In progress")</f>
        <v>1</v>
      </c>
      <c r="F16" s="412">
        <f>COUNTIFS('SLA Ed admin Feature List'!$C$9:$C$160,$A16,'SLA Ed admin Feature List'!$F$9:$F$160,"Not started")</f>
        <v>0</v>
      </c>
      <c r="G16" s="414">
        <f t="shared" si="1"/>
        <v>0.5</v>
      </c>
      <c r="H16" s="362"/>
      <c r="I16" s="362"/>
    </row>
    <row r="17">
      <c r="A17" s="405" t="s">
        <v>551</v>
      </c>
      <c r="B17" s="406">
        <f>COUNTIF('Ed admin Full Feature List'!$C$9:$C$190,$A17)</f>
        <v>6</v>
      </c>
      <c r="C17" s="408">
        <f>COUNTIF('SLA Ed admin Feature List'!$C$9:$C$160,$A17)</f>
        <v>6</v>
      </c>
      <c r="D17" s="412">
        <f>COUNTIFS('SLA Ed admin Feature List'!$C$9:$C$160,$A17,'SLA Ed admin Feature List'!$F$9:$F$160,"Completed")</f>
        <v>5</v>
      </c>
      <c r="E17" s="412">
        <f>COUNTIFS('SLA Ed admin Feature List'!$C$9:$C$160,$A17,'SLA Ed admin Feature List'!$F$9:$F$160,"In progress")</f>
        <v>1</v>
      </c>
      <c r="F17" s="412">
        <f>COUNTIFS('SLA Ed admin Feature List'!$C$9:$C$160,$A17,'SLA Ed admin Feature List'!$F$9:$F$160,"Not started")</f>
        <v>0</v>
      </c>
      <c r="G17" s="414">
        <f t="shared" si="1"/>
        <v>0.8333333333</v>
      </c>
      <c r="H17" s="362"/>
      <c r="I17" s="362"/>
    </row>
    <row r="18">
      <c r="A18" s="405" t="s">
        <v>621</v>
      </c>
      <c r="B18" s="406">
        <f>COUNTIF('Ed admin Full Feature List'!$C$9:$C$190,$A18)</f>
        <v>3</v>
      </c>
      <c r="C18" s="408">
        <f>COUNTIF('SLA Ed admin Feature List'!$C$9:$C$160,$A18)</f>
        <v>3</v>
      </c>
      <c r="D18" s="412">
        <f>COUNTIFS('SLA Ed admin Feature List'!$C$9:$C$160,$A18,'SLA Ed admin Feature List'!$F$9:$F$160,"Completed")</f>
        <v>3</v>
      </c>
      <c r="E18" s="412">
        <f>COUNTIFS('SLA Ed admin Feature List'!$C$9:$C$160,$A18,'SLA Ed admin Feature List'!$F$9:$F$160,"In progress")</f>
        <v>0</v>
      </c>
      <c r="F18" s="412">
        <f>COUNTIFS('SLA Ed admin Feature List'!$C$9:$C$160,$A18,'SLA Ed admin Feature List'!$F$9:$F$160,"Not started")</f>
        <v>0</v>
      </c>
      <c r="G18" s="414">
        <f t="shared" si="1"/>
        <v>1</v>
      </c>
      <c r="H18" s="362"/>
      <c r="I18" s="362"/>
    </row>
    <row r="19">
      <c r="A19" s="405" t="s">
        <v>562</v>
      </c>
      <c r="B19" s="406">
        <f>COUNTIF('Ed admin Full Feature List'!$C$9:$C$190,$A19)</f>
        <v>5</v>
      </c>
      <c r="C19" s="408">
        <f>COUNTIF('SLA Ed admin Feature List'!$C$9:$C$160,$A19)</f>
        <v>5</v>
      </c>
      <c r="D19" s="412">
        <f>COUNTIFS('SLA Ed admin Feature List'!$C$9:$C$160,$A19,'SLA Ed admin Feature List'!$F$9:$F$160,"Completed")</f>
        <v>5</v>
      </c>
      <c r="E19" s="412">
        <f>COUNTIFS('SLA Ed admin Feature List'!$C$9:$C$160,$A19,'SLA Ed admin Feature List'!$F$9:$F$160,"In progress")</f>
        <v>0</v>
      </c>
      <c r="F19" s="412">
        <f>COUNTIFS('SLA Ed admin Feature List'!$C$9:$C$160,$A19,'SLA Ed admin Feature List'!$F$9:$F$160,"Not started")</f>
        <v>0</v>
      </c>
      <c r="G19" s="414">
        <f t="shared" si="1"/>
        <v>1</v>
      </c>
      <c r="H19" s="362"/>
      <c r="I19" s="362"/>
    </row>
    <row r="20">
      <c r="A20" s="405" t="s">
        <v>578</v>
      </c>
      <c r="B20" s="406">
        <f>COUNTIF('Ed admin Full Feature List'!$C$9:$C$190,$A20)</f>
        <v>4</v>
      </c>
      <c r="C20" s="408">
        <f>COUNTIF('SLA Ed admin Feature List'!$C$9:$C$160,$A20)</f>
        <v>4</v>
      </c>
      <c r="D20" s="412">
        <f>COUNTIFS('SLA Ed admin Feature List'!$C$9:$C$160,$A20,'SLA Ed admin Feature List'!$F$9:$F$160,"Completed")</f>
        <v>4</v>
      </c>
      <c r="E20" s="412">
        <f>COUNTIFS('SLA Ed admin Feature List'!$C$9:$C$160,$A20,'SLA Ed admin Feature List'!$F$9:$F$160,"In progress")</f>
        <v>0</v>
      </c>
      <c r="F20" s="412">
        <f>COUNTIFS('SLA Ed admin Feature List'!$C$9:$C$160,$A20,'SLA Ed admin Feature List'!$F$9:$F$160,"Not started")</f>
        <v>0</v>
      </c>
      <c r="G20" s="414">
        <f t="shared" si="1"/>
        <v>1</v>
      </c>
      <c r="H20" s="362"/>
      <c r="I20" s="362"/>
    </row>
    <row r="21">
      <c r="A21" s="405" t="s">
        <v>594</v>
      </c>
      <c r="B21" s="406">
        <f>COUNTIF('Ed admin Full Feature List'!$C$9:$C$190,$A21)</f>
        <v>4</v>
      </c>
      <c r="C21" s="408">
        <f>COUNTIF('SLA Ed admin Feature List'!$C$9:$C$160,$A21)</f>
        <v>4</v>
      </c>
      <c r="D21" s="412">
        <f>COUNTIFS('SLA Ed admin Feature List'!$C$9:$C$160,$A21,'SLA Ed admin Feature List'!$F$9:$F$160,"Completed")</f>
        <v>2</v>
      </c>
      <c r="E21" s="412">
        <f>COUNTIFS('SLA Ed admin Feature List'!$C$9:$C$160,$A21,'SLA Ed admin Feature List'!$F$9:$F$160,"In progress")</f>
        <v>2</v>
      </c>
      <c r="F21" s="412">
        <f>COUNTIFS('SLA Ed admin Feature List'!$C$9:$C$160,$A21,'SLA Ed admin Feature List'!$F$9:$F$160,"Not started")</f>
        <v>0</v>
      </c>
      <c r="G21" s="414">
        <f t="shared" si="1"/>
        <v>0.5</v>
      </c>
      <c r="H21" s="362"/>
      <c r="I21" s="362"/>
    </row>
    <row r="22">
      <c r="A22" s="405" t="s">
        <v>598</v>
      </c>
      <c r="B22" s="406">
        <f>COUNTIF('Ed admin Full Feature List'!$C$9:$C$190,$A22)</f>
        <v>4</v>
      </c>
      <c r="C22" s="408">
        <f>COUNTIF('SLA Ed admin Feature List'!$C$9:$C$160,$A22)</f>
        <v>4</v>
      </c>
      <c r="D22" s="412">
        <f>COUNTIFS('SLA Ed admin Feature List'!$C$9:$C$160,$A22,'SLA Ed admin Feature List'!$F$9:$F$160,"Completed")</f>
        <v>0</v>
      </c>
      <c r="E22" s="412">
        <f>COUNTIFS('SLA Ed admin Feature List'!$C$9:$C$160,$A22,'SLA Ed admin Feature List'!$F$9:$F$160,"In progress")</f>
        <v>0</v>
      </c>
      <c r="F22" s="412">
        <f>COUNTIFS('SLA Ed admin Feature List'!$C$9:$C$160,$A22,'SLA Ed admin Feature List'!$F$9:$F$160,"Not started")</f>
        <v>4</v>
      </c>
      <c r="G22" s="414">
        <f t="shared" si="1"/>
        <v>0</v>
      </c>
      <c r="H22" s="362"/>
      <c r="I22" s="362"/>
    </row>
    <row r="23">
      <c r="A23" s="405" t="s">
        <v>660</v>
      </c>
      <c r="B23" s="406">
        <f>COUNTIF('Ed admin Full Feature List'!$C$9:$C$190,$A23)</f>
        <v>1</v>
      </c>
      <c r="C23" s="408">
        <f>COUNTIF('SLA Ed admin Feature List'!$C$9:$C$160,$A23)</f>
        <v>1</v>
      </c>
      <c r="D23" s="412">
        <f>COUNTIFS('SLA Ed admin Feature List'!$C$9:$C$160,$A23,'SLA Ed admin Feature List'!$F$9:$F$160,"Completed")</f>
        <v>1</v>
      </c>
      <c r="E23" s="412">
        <f>COUNTIFS('SLA Ed admin Feature List'!$C$9:$C$160,$A23,'SLA Ed admin Feature List'!$F$9:$F$160,"In progress")</f>
        <v>0</v>
      </c>
      <c r="F23" s="412">
        <f>COUNTIFS('SLA Ed admin Feature List'!$C$9:$C$160,$A23,'SLA Ed admin Feature List'!$F$9:$F$160,"Not started")</f>
        <v>0</v>
      </c>
      <c r="G23" s="414">
        <f t="shared" si="1"/>
        <v>1</v>
      </c>
      <c r="H23" s="362"/>
      <c r="I23" s="362"/>
    </row>
    <row r="24">
      <c r="A24" s="405" t="s">
        <v>512</v>
      </c>
      <c r="B24" s="406">
        <f>COUNTIF('Ed admin Full Feature List'!$C$9:$C$190,$A24)</f>
        <v>10</v>
      </c>
      <c r="C24" s="408">
        <f>COUNTIF('SLA Ed admin Feature List'!$C$9:$C$160,$A24)</f>
        <v>10</v>
      </c>
      <c r="D24" s="412">
        <f>COUNTIFS('SLA Ed admin Feature List'!$C$9:$C$160,$A24,'SLA Ed admin Feature List'!$F$9:$F$160,"Completed")</f>
        <v>0</v>
      </c>
      <c r="E24" s="412">
        <f>COUNTIFS('SLA Ed admin Feature List'!$C$9:$C$160,$A24,'SLA Ed admin Feature List'!$F$9:$F$160,"In progress")</f>
        <v>10</v>
      </c>
      <c r="F24" s="412">
        <f>COUNTIFS('SLA Ed admin Feature List'!$C$9:$C$160,$A24,'SLA Ed admin Feature List'!$F$9:$F$160,"Not started")</f>
        <v>0</v>
      </c>
      <c r="G24" s="414">
        <f t="shared" si="1"/>
        <v>0</v>
      </c>
      <c r="H24" s="362"/>
      <c r="I24" s="362"/>
    </row>
    <row r="25">
      <c r="A25" s="405" t="s">
        <v>558</v>
      </c>
      <c r="B25" s="406">
        <f>COUNTIF('Ed admin Full Feature List'!$C$9:$C$190,$A25)</f>
        <v>6</v>
      </c>
      <c r="C25" s="408">
        <f>COUNTIF('SLA Ed admin Feature List'!$C$9:$C$160,$A25)</f>
        <v>6</v>
      </c>
      <c r="D25" s="412">
        <f>COUNTIFS('SLA Ed admin Feature List'!$C$9:$C$160,$A25,'SLA Ed admin Feature List'!$F$9:$F$160,"Completed")</f>
        <v>3</v>
      </c>
      <c r="E25" s="412">
        <f>COUNTIFS('SLA Ed admin Feature List'!$C$9:$C$160,$A25,'SLA Ed admin Feature List'!$F$9:$F$160,"In progress")</f>
        <v>3</v>
      </c>
      <c r="F25" s="412">
        <f>COUNTIFS('SLA Ed admin Feature List'!$C$9:$C$160,$A25,'SLA Ed admin Feature List'!$F$9:$F$160,"Not started")</f>
        <v>0</v>
      </c>
      <c r="G25" s="414">
        <f t="shared" si="1"/>
        <v>0.5</v>
      </c>
      <c r="H25" s="362"/>
      <c r="I25" s="362"/>
    </row>
    <row r="26">
      <c r="A26" s="405" t="s">
        <v>634</v>
      </c>
      <c r="B26" s="406">
        <f>COUNTIF('Ed admin Full Feature List'!$C$9:$C$190,$A26)</f>
        <v>3</v>
      </c>
      <c r="C26" s="408">
        <f>COUNTIF('SLA Ed admin Feature List'!$C$9:$C$160,$A26)</f>
        <v>3</v>
      </c>
      <c r="D26" s="412">
        <f>COUNTIFS('SLA Ed admin Feature List'!$C$9:$C$160,$A26,'SLA Ed admin Feature List'!$F$9:$F$160,"Completed")</f>
        <v>1</v>
      </c>
      <c r="E26" s="412">
        <f>COUNTIFS('SLA Ed admin Feature List'!$C$9:$C$160,$A26,'SLA Ed admin Feature List'!$F$9:$F$160,"In progress")</f>
        <v>2</v>
      </c>
      <c r="F26" s="412">
        <f>COUNTIFS('SLA Ed admin Feature List'!$C$9:$C$160,$A26,'SLA Ed admin Feature List'!$F$9:$F$160,"Not started")</f>
        <v>0</v>
      </c>
      <c r="G26" s="414">
        <f t="shared" si="1"/>
        <v>0.3333333333</v>
      </c>
      <c r="H26" s="362"/>
      <c r="I26" s="362"/>
    </row>
    <row r="27">
      <c r="A27" s="405" t="s">
        <v>642</v>
      </c>
      <c r="B27" s="406">
        <f>COUNTIF('Ed admin Full Feature List'!$C$9:$C$190,$A27)</f>
        <v>2</v>
      </c>
      <c r="C27" s="408">
        <f>COUNTIF('SLA Ed admin Feature List'!$C$9:$C$160,$A27)</f>
        <v>2</v>
      </c>
      <c r="D27" s="412">
        <f>COUNTIFS('SLA Ed admin Feature List'!$C$9:$C$160,$A27,'SLA Ed admin Feature List'!$F$9:$F$160,"Completed")</f>
        <v>0</v>
      </c>
      <c r="E27" s="412">
        <f>COUNTIFS('SLA Ed admin Feature List'!$C$9:$C$160,$A27,'SLA Ed admin Feature List'!$F$9:$F$160,"In progress")</f>
        <v>0</v>
      </c>
      <c r="F27" s="412">
        <f>COUNTIFS('SLA Ed admin Feature List'!$C$9:$C$160,$A27,'SLA Ed admin Feature List'!$F$9:$F$160,"Not started")</f>
        <v>0</v>
      </c>
      <c r="G27" s="414">
        <f t="shared" si="1"/>
        <v>0</v>
      </c>
      <c r="H27" s="362"/>
      <c r="I27" s="362"/>
    </row>
    <row r="28">
      <c r="A28" s="436" t="s">
        <v>673</v>
      </c>
      <c r="B28" s="437">
        <f t="shared" ref="B28:F28" si="2">sum(B9:B27)</f>
        <v>105</v>
      </c>
      <c r="C28" s="437">
        <f t="shared" si="2"/>
        <v>93</v>
      </c>
      <c r="D28" s="437">
        <f t="shared" si="2"/>
        <v>49</v>
      </c>
      <c r="E28" s="437">
        <f t="shared" si="2"/>
        <v>29</v>
      </c>
      <c r="F28" s="437">
        <f t="shared" si="2"/>
        <v>13</v>
      </c>
      <c r="G28" s="438">
        <f t="shared" si="1"/>
        <v>0.5268817204</v>
      </c>
      <c r="H28" s="362"/>
      <c r="I28" s="362"/>
    </row>
    <row r="29">
      <c r="A29" s="362"/>
      <c r="B29" s="362"/>
      <c r="C29" s="362"/>
      <c r="D29" s="362"/>
      <c r="E29" s="362"/>
      <c r="F29" s="362"/>
      <c r="G29" s="362"/>
      <c r="H29" s="362"/>
      <c r="I29" s="362"/>
    </row>
    <row r="30">
      <c r="A30" s="439" t="s">
        <v>976</v>
      </c>
      <c r="B30" s="439" t="s">
        <v>977</v>
      </c>
      <c r="C30" s="362"/>
      <c r="D30" s="362"/>
      <c r="E30" s="362"/>
      <c r="F30" s="362"/>
      <c r="G30" s="362"/>
      <c r="H30" s="362"/>
      <c r="I30" s="362"/>
    </row>
    <row r="31">
      <c r="A31" s="440" t="s">
        <v>507</v>
      </c>
      <c r="B31" s="441">
        <f>countif('SLA Ed admin Feature List'!F:F,"Completed")</f>
        <v>49</v>
      </c>
      <c r="C31" s="362"/>
      <c r="D31" s="362"/>
      <c r="E31" s="362"/>
      <c r="F31" s="362"/>
      <c r="G31" s="362"/>
      <c r="H31" s="362"/>
      <c r="I31" s="362"/>
    </row>
    <row r="32">
      <c r="A32" s="440" t="s">
        <v>490</v>
      </c>
      <c r="B32" s="441">
        <f>countif('SLA Ed admin Feature List'!F:F,"In progress")</f>
        <v>29</v>
      </c>
      <c r="C32" s="362"/>
      <c r="D32" s="362"/>
      <c r="E32" s="362"/>
      <c r="F32" s="362"/>
      <c r="G32" s="362"/>
      <c r="H32" s="362"/>
      <c r="I32" s="362"/>
    </row>
    <row r="33">
      <c r="A33" s="440" t="s">
        <v>526</v>
      </c>
      <c r="B33" s="441">
        <f>countif('SLA Ed admin Feature List'!F:F,"Not started")</f>
        <v>13</v>
      </c>
      <c r="C33" s="362"/>
      <c r="D33" s="362"/>
      <c r="E33" s="362"/>
      <c r="F33" s="362"/>
      <c r="G33" s="362"/>
      <c r="H33" s="362"/>
      <c r="I33" s="362"/>
    </row>
    <row r="34">
      <c r="A34" s="440"/>
      <c r="B34" s="441"/>
      <c r="C34" s="362"/>
      <c r="D34" s="362"/>
      <c r="E34" s="362"/>
      <c r="F34" s="362"/>
      <c r="G34" s="362"/>
      <c r="H34" s="362"/>
      <c r="I34" s="362"/>
    </row>
    <row r="35">
      <c r="A35" s="362"/>
      <c r="B35" s="441"/>
      <c r="C35" s="362"/>
      <c r="D35" s="362"/>
      <c r="E35" s="362"/>
      <c r="F35" s="362"/>
      <c r="G35" s="362"/>
      <c r="H35" s="362"/>
      <c r="I35" s="362"/>
    </row>
    <row r="36">
      <c r="A36" s="362"/>
      <c r="B36" s="362"/>
      <c r="C36" s="362"/>
      <c r="D36" s="362"/>
      <c r="E36" s="362"/>
      <c r="F36" s="362"/>
      <c r="G36" s="362"/>
      <c r="H36" s="362"/>
      <c r="I36" s="362"/>
    </row>
    <row r="37">
      <c r="A37" s="362"/>
      <c r="B37" s="362"/>
      <c r="C37" s="362"/>
      <c r="D37" s="362"/>
      <c r="E37" s="362"/>
      <c r="F37" s="362"/>
      <c r="G37" s="362"/>
      <c r="H37" s="362"/>
      <c r="I37" s="362"/>
    </row>
    <row r="38">
      <c r="A38" s="362"/>
      <c r="B38" s="362"/>
      <c r="C38" s="362"/>
      <c r="D38" s="362"/>
      <c r="E38" s="362"/>
      <c r="F38" s="362"/>
      <c r="G38" s="362"/>
      <c r="H38" s="362"/>
      <c r="I38" s="362"/>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5.25"/>
    <col customWidth="1" min="2" max="2" width="18.13"/>
    <col customWidth="1" min="3" max="3" width="19.25"/>
    <col customWidth="1" min="4" max="4" width="51.88"/>
    <col customWidth="1" min="5" max="5" width="15.38"/>
    <col customWidth="1" min="6" max="6" width="31.88"/>
  </cols>
  <sheetData>
    <row r="1">
      <c r="A1" s="415"/>
      <c r="B1" s="416" t="s">
        <v>891</v>
      </c>
    </row>
    <row r="2">
      <c r="A2" s="415"/>
      <c r="B2" s="417" t="s">
        <v>892</v>
      </c>
    </row>
    <row r="3">
      <c r="A3" s="418" t="s">
        <v>893</v>
      </c>
      <c r="B3" s="419" t="s">
        <v>894</v>
      </c>
      <c r="C3" s="419" t="s">
        <v>895</v>
      </c>
      <c r="D3" s="419" t="s">
        <v>896</v>
      </c>
      <c r="E3" s="419" t="s">
        <v>897</v>
      </c>
      <c r="F3" s="419" t="s">
        <v>898</v>
      </c>
      <c r="G3" s="420"/>
    </row>
    <row r="4">
      <c r="A4" s="421">
        <v>1.0</v>
      </c>
      <c r="B4" s="222" t="s">
        <v>899</v>
      </c>
      <c r="C4" s="222" t="s">
        <v>900</v>
      </c>
      <c r="D4" s="222" t="s">
        <v>901</v>
      </c>
      <c r="E4" s="222" t="s">
        <v>902</v>
      </c>
      <c r="F4" s="222" t="s">
        <v>903</v>
      </c>
      <c r="G4" s="422"/>
    </row>
    <row r="5">
      <c r="A5" s="421">
        <v>2.0</v>
      </c>
      <c r="B5" s="222" t="s">
        <v>904</v>
      </c>
      <c r="C5" s="222" t="s">
        <v>900</v>
      </c>
      <c r="D5" s="222" t="s">
        <v>905</v>
      </c>
      <c r="E5" s="222" t="s">
        <v>906</v>
      </c>
      <c r="F5" s="222" t="s">
        <v>907</v>
      </c>
      <c r="G5" s="422"/>
    </row>
    <row r="6">
      <c r="A6" s="421">
        <v>3.0</v>
      </c>
      <c r="B6" s="222" t="s">
        <v>908</v>
      </c>
      <c r="C6" s="222" t="s">
        <v>900</v>
      </c>
      <c r="D6" s="423" t="s">
        <v>909</v>
      </c>
      <c r="E6" s="222" t="s">
        <v>902</v>
      </c>
      <c r="F6" s="222" t="s">
        <v>907</v>
      </c>
      <c r="G6" s="422"/>
    </row>
    <row r="7">
      <c r="A7" s="421">
        <v>4.0</v>
      </c>
      <c r="B7" s="222" t="s">
        <v>910</v>
      </c>
      <c r="C7" s="222" t="s">
        <v>911</v>
      </c>
      <c r="D7" s="423" t="s">
        <v>912</v>
      </c>
      <c r="E7" s="222" t="s">
        <v>902</v>
      </c>
      <c r="F7" s="222" t="s">
        <v>913</v>
      </c>
      <c r="G7" s="422"/>
    </row>
    <row r="8">
      <c r="A8" s="421">
        <v>5.0</v>
      </c>
      <c r="B8" s="222" t="s">
        <v>239</v>
      </c>
      <c r="C8" s="222" t="s">
        <v>46</v>
      </c>
      <c r="D8" s="423" t="s">
        <v>914</v>
      </c>
      <c r="E8" s="222" t="s">
        <v>915</v>
      </c>
      <c r="F8" s="222" t="s">
        <v>46</v>
      </c>
      <c r="G8" s="422"/>
    </row>
    <row r="9">
      <c r="A9" s="421">
        <v>6.0</v>
      </c>
      <c r="B9" s="222" t="s">
        <v>916</v>
      </c>
      <c r="C9" s="222" t="s">
        <v>917</v>
      </c>
      <c r="D9" s="423" t="s">
        <v>918</v>
      </c>
      <c r="E9" s="222" t="s">
        <v>915</v>
      </c>
      <c r="F9" s="222" t="s">
        <v>919</v>
      </c>
      <c r="G9" s="422"/>
    </row>
    <row r="10">
      <c r="A10" s="421">
        <v>7.0</v>
      </c>
      <c r="B10" s="222" t="s">
        <v>42</v>
      </c>
      <c r="C10" s="222" t="s">
        <v>920</v>
      </c>
      <c r="D10" s="423" t="s">
        <v>921</v>
      </c>
      <c r="E10" s="222" t="s">
        <v>902</v>
      </c>
      <c r="F10" s="222" t="s">
        <v>907</v>
      </c>
      <c r="G10" s="422"/>
    </row>
    <row r="11">
      <c r="A11" s="421">
        <v>8.0</v>
      </c>
      <c r="B11" s="222" t="s">
        <v>922</v>
      </c>
      <c r="C11" s="222" t="s">
        <v>920</v>
      </c>
      <c r="D11" s="423" t="s">
        <v>923</v>
      </c>
      <c r="E11" s="222" t="s">
        <v>915</v>
      </c>
      <c r="F11" s="222" t="s">
        <v>46</v>
      </c>
      <c r="G11" s="422"/>
    </row>
    <row r="12">
      <c r="A12" s="421">
        <v>9.0</v>
      </c>
      <c r="B12" s="222" t="s">
        <v>924</v>
      </c>
      <c r="C12" s="222" t="s">
        <v>925</v>
      </c>
      <c r="D12" s="423" t="s">
        <v>926</v>
      </c>
      <c r="E12" s="222" t="s">
        <v>78</v>
      </c>
      <c r="F12" s="222" t="s">
        <v>927</v>
      </c>
      <c r="G12" s="422"/>
    </row>
    <row r="13">
      <c r="A13" s="421">
        <v>13.0</v>
      </c>
      <c r="B13" s="222" t="s">
        <v>928</v>
      </c>
      <c r="C13" s="222" t="s">
        <v>929</v>
      </c>
      <c r="D13" s="423" t="s">
        <v>930</v>
      </c>
      <c r="E13" s="222" t="s">
        <v>931</v>
      </c>
      <c r="F13" s="222" t="s">
        <v>932</v>
      </c>
      <c r="G13" s="422"/>
    </row>
    <row r="14">
      <c r="A14" s="421">
        <v>13.0</v>
      </c>
      <c r="B14" s="222" t="s">
        <v>933</v>
      </c>
      <c r="C14" s="222" t="s">
        <v>934</v>
      </c>
      <c r="D14" s="423" t="s">
        <v>935</v>
      </c>
      <c r="E14" s="222" t="s">
        <v>936</v>
      </c>
      <c r="F14" s="222" t="s">
        <v>937</v>
      </c>
      <c r="G14" s="422"/>
    </row>
    <row r="15">
      <c r="A15" s="421">
        <v>13.0</v>
      </c>
      <c r="B15" s="222" t="s">
        <v>938</v>
      </c>
      <c r="C15" s="222" t="s">
        <v>939</v>
      </c>
      <c r="D15" s="423" t="s">
        <v>940</v>
      </c>
      <c r="E15" s="222" t="s">
        <v>941</v>
      </c>
      <c r="F15" s="222" t="s">
        <v>907</v>
      </c>
      <c r="G15" s="422"/>
    </row>
    <row r="16">
      <c r="A16" s="421">
        <v>13.0</v>
      </c>
      <c r="B16" s="222" t="s">
        <v>942</v>
      </c>
      <c r="C16" s="222" t="s">
        <v>943</v>
      </c>
      <c r="D16" s="423" t="s">
        <v>944</v>
      </c>
      <c r="E16" s="222" t="s">
        <v>945</v>
      </c>
      <c r="F16" s="222" t="s">
        <v>907</v>
      </c>
      <c r="G16" s="422"/>
    </row>
    <row r="17">
      <c r="A17" s="421">
        <v>14.0</v>
      </c>
      <c r="B17" s="421" t="s">
        <v>946</v>
      </c>
      <c r="C17" s="117" t="s">
        <v>947</v>
      </c>
      <c r="D17" s="423" t="s">
        <v>948</v>
      </c>
      <c r="E17" s="421" t="s">
        <v>931</v>
      </c>
      <c r="F17" s="421" t="s">
        <v>937</v>
      </c>
      <c r="G17" s="422"/>
    </row>
    <row r="18">
      <c r="A18" s="421">
        <v>15.0</v>
      </c>
      <c r="B18" s="421" t="s">
        <v>949</v>
      </c>
      <c r="C18" s="421" t="s">
        <v>950</v>
      </c>
      <c r="D18" s="423" t="s">
        <v>951</v>
      </c>
      <c r="E18" s="421" t="s">
        <v>902</v>
      </c>
      <c r="F18" s="421" t="s">
        <v>907</v>
      </c>
      <c r="G18" s="422"/>
    </row>
    <row r="19">
      <c r="A19" s="421">
        <v>16.0</v>
      </c>
      <c r="B19" s="421" t="s">
        <v>952</v>
      </c>
      <c r="C19" s="421" t="s">
        <v>953</v>
      </c>
      <c r="D19" s="423" t="s">
        <v>954</v>
      </c>
      <c r="E19" s="421" t="s">
        <v>955</v>
      </c>
      <c r="F19" s="421" t="s">
        <v>167</v>
      </c>
      <c r="G19" s="422"/>
    </row>
  </sheetData>
  <mergeCells count="2">
    <mergeCell ref="B1:G1"/>
    <mergeCell ref="B2:G2"/>
  </mergeCells>
  <printOptions gridLines="1" horizontalCentered="1"/>
  <pageMargins bottom="0.75" footer="0.0" header="0.0" left="0.7" right="0.7" top="0.75"/>
  <pageSetup fitToHeight="0" cellComments="atEnd" orientation="landscape" pageOrder="overThenDown"/>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25"/>
    <col customWidth="1" min="2" max="2" width="28.88"/>
  </cols>
  <sheetData>
    <row r="1">
      <c r="A1" s="36" t="s">
        <v>45</v>
      </c>
    </row>
    <row r="2">
      <c r="A2" s="36" t="s">
        <v>175</v>
      </c>
      <c r="B2" s="424" t="s">
        <v>956</v>
      </c>
    </row>
    <row r="3">
      <c r="A3" s="36" t="s">
        <v>57</v>
      </c>
      <c r="B3" s="36" t="s">
        <v>957</v>
      </c>
    </row>
    <row r="4">
      <c r="A4" s="36" t="s">
        <v>57</v>
      </c>
      <c r="B4" s="36" t="s">
        <v>958</v>
      </c>
    </row>
    <row r="5">
      <c r="A5" s="36" t="s">
        <v>959</v>
      </c>
      <c r="B5" s="36" t="s">
        <v>960</v>
      </c>
    </row>
    <row r="6">
      <c r="A6" s="36" t="s">
        <v>961</v>
      </c>
      <c r="B6" s="36" t="s">
        <v>962</v>
      </c>
    </row>
    <row r="7">
      <c r="A7" s="36" t="s">
        <v>963</v>
      </c>
      <c r="B7" s="36" t="s">
        <v>964</v>
      </c>
    </row>
    <row r="8">
      <c r="A8" s="36" t="s">
        <v>965</v>
      </c>
      <c r="B8" s="36" t="s">
        <v>966</v>
      </c>
    </row>
    <row r="9">
      <c r="A9" s="36" t="s">
        <v>967</v>
      </c>
      <c r="B9" s="36" t="s">
        <v>968</v>
      </c>
    </row>
  </sheetData>
  <hyperlinks>
    <hyperlink r:id="rId1" ref="B2"/>
  </hyperlinks>
  <drawing r:id="rId2"/>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25"/>
    <col customWidth="1" min="2" max="2" width="2.88"/>
    <col customWidth="1" min="3" max="3" width="14.75"/>
    <col customWidth="1" min="4" max="4" width="39.75"/>
    <col customWidth="1" min="5" max="5" width="55.88"/>
    <col customWidth="1" min="6" max="6" width="19.5"/>
    <col customWidth="1" min="7" max="8" width="44.75"/>
  </cols>
  <sheetData>
    <row r="1">
      <c r="A1" s="425" t="s">
        <v>45</v>
      </c>
      <c r="B1" s="238" t="s">
        <v>459</v>
      </c>
      <c r="C1" s="238" t="s">
        <v>461</v>
      </c>
      <c r="D1" s="238" t="s">
        <v>479</v>
      </c>
      <c r="E1" s="238" t="s">
        <v>480</v>
      </c>
      <c r="F1" s="239" t="s">
        <v>481</v>
      </c>
      <c r="G1" s="240"/>
    </row>
    <row r="2">
      <c r="C2" s="426" t="s">
        <v>969</v>
      </c>
      <c r="D2" s="426"/>
      <c r="E2" s="427"/>
      <c r="F2" s="254"/>
    </row>
    <row r="3">
      <c r="C3" s="246" t="s">
        <v>474</v>
      </c>
      <c r="D3" s="428" t="s">
        <v>970</v>
      </c>
      <c r="E3" s="429" t="s">
        <v>971</v>
      </c>
      <c r="F3" s="254" t="s">
        <v>507</v>
      </c>
    </row>
    <row r="4">
      <c r="C4" s="246" t="s">
        <v>474</v>
      </c>
      <c r="D4" s="428" t="s">
        <v>972</v>
      </c>
      <c r="E4" s="429" t="s">
        <v>973</v>
      </c>
      <c r="F4" s="254" t="s">
        <v>490</v>
      </c>
    </row>
    <row r="5">
      <c r="C5" s="246" t="s">
        <v>474</v>
      </c>
      <c r="D5" s="430"/>
    </row>
    <row r="6">
      <c r="C6" s="246" t="s">
        <v>474</v>
      </c>
      <c r="D6" s="353" t="s">
        <v>485</v>
      </c>
      <c r="E6" s="431" t="s">
        <v>486</v>
      </c>
      <c r="F6" s="254" t="s">
        <v>526</v>
      </c>
    </row>
    <row r="10">
      <c r="C10" s="426" t="s">
        <v>974</v>
      </c>
      <c r="D10" s="426"/>
      <c r="E10" s="427"/>
      <c r="F10" s="254"/>
    </row>
    <row r="14">
      <c r="A14" s="432"/>
      <c r="B14" s="432"/>
      <c r="C14" s="433" t="s">
        <v>975</v>
      </c>
      <c r="D14" s="434"/>
      <c r="E14" s="434"/>
      <c r="F14" s="435"/>
      <c r="G14" s="432"/>
      <c r="H14" s="432"/>
    </row>
  </sheetData>
  <conditionalFormatting sqref="F2:F4 F6 F10">
    <cfRule type="notContainsBlanks" dxfId="0" priority="1">
      <formula>LEN(TRIM(F2))&gt;0</formula>
    </cfRule>
  </conditionalFormatting>
  <dataValidations>
    <dataValidation type="list" allowBlank="1" showErrorMessage="1" sqref="F3:F4 F6">
      <formula1>"Completed,In Progress,Not Started,Completed &amp; Used,Requires API,Additional Costs Apply,Will not be Used"</formula1>
    </dataValidation>
  </dataValidations>
  <drawing r:id="rId1"/>
</worksheet>
</file>